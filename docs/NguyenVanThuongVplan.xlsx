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ab62b6126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plan" sheetId="1" r:id="R2b587b8b662847b0"/>
  </x:sheets>
</x:workbook>
</file>

<file path=xl/sharedStrings.xml><?xml version="1.0" encoding="utf-8"?>
<x:sst xmlns:x="http://schemas.openxmlformats.org/spreadsheetml/2006/main">
  <x:si>
    <x:t xml:space="preserve">Total Items</x:t>
  </x:si>
  <x:si>
    <x:t xml:space="preserve">Pass Items</x:t>
  </x:si>
  <x:si>
    <x:t xml:space="preserve">Fail Items</x:t>
  </x:si>
  <x:si>
    <x:t xml:space="preserve">NY Items</x:t>
  </x:si>
  <x:si>
    <x:t xml:space="preserve">Section</x:t>
  </x:si>
  <x:si>
    <x:t xml:space="preserve">Main Title</x:t>
  </x:si>
  <x:si>
    <x:t xml:space="preserve">Description</x:t>
  </x:si>
  <x:si>
    <x:t xml:space="preserve">Testname</x:t>
  </x:si>
  <x:si>
    <x:t xml:space="preserve">Priority</x:t>
  </x:si>
  <x:si>
    <x:t xml:space="preserve">Method</x:t>
  </x:si>
  <x:si>
    <x:t xml:space="preserve">Owner</x:t>
  </x:si>
  <x:si>
    <x:t xml:space="preserve">Status</x:t>
  </x:si>
  <x:si>
    <x:t xml:space="preserve">Milestone</x:t>
  </x:si>
  <x:si>
    <x:t xml:space="preserve">Remark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</x:si>
</x:sst>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theme="1"/>
      <x:name val="Calibri"/>
    </x:font>
    <x:font>
      <x:sz val="10"/>
      <x:color theme="1"/>
      <x:name val="Calibri"/>
    </x:font>
    <x:font>
      <x:sz val="10"/>
      <x:color rgb="FF172334"/>
      <x:name val="Calibri"/>
    </x:font>
    <x:font>
      <x:b/>
      <x:sz val="10"/>
      <x:color rgb="FF172334"/>
      <x:name val="Calibri"/>
    </x:font>
    <x:font>
      <x:b/>
      <x:sz val="11"/>
      <x:color rgb="FFFFFFFF"/>
      <x:name val="Calibri"/>
    </x:font>
    <x:font>
      <x:sz val="11"/>
      <x:color rgb="FF162336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FFE598"/>
      </x:patternFill>
    </x:fill>
    <x:fill>
      <x:patternFill patternType="solid">
        <x:fgColor theme="4"/>
      </x:patternFill>
    </x:fill>
    <x:fill>
      <x:patternFill patternType="solid">
        <x:fgColor rgb="FFC5E0B3"/>
      </x:patternFill>
    </x:fill>
    <x:fill>
      <x:patternFill patternType="solid">
        <x:fgColor theme="9" tint="0.59999"/>
      </x:patternFill>
    </x:fill>
    <x:fill>
      <x:patternFill patternType="solid">
        <x:fgColor theme="7" tint="0.7999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9FBFD"/>
      </x:patternFill>
    </x:fill>
    <x:fill>
      <x:patternFill patternType="solid">
        <x:fgColor rgb="FFC6E7BC"/>
      </x:patternFill>
    </x:fill>
    <x:fill>
      <x:patternFill patternType="solid">
        <x:fgColor rgb="FF5C9ACB"/>
      </x:patternFill>
    </x:fill>
    <x:fill>
      <x:patternFill patternType="solid">
        <x:fgColor rgb="FFFFE6A5"/>
      </x:patternFill>
    </x:fill>
  </x:fills>
  <x:borders count="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33">
    <x:xf numFmtId="0" fontId="0" fillId="0" borderId="0" xfId="0"/>
    <x:xf numFmtId="0" fontId="3" fillId="0" borderId="1" xfId="0" applyFont="1" applyBorder="1"/>
    <x:xf numFmtId="0" fontId="4" fillId="3" borderId="1" xfId="0" applyFont="1" applyFill="1" applyBorder="1" applyAlignment="1">
      <x:alignment horizontal="center"/>
    </x:xf>
    <x:xf numFmtId="0" fontId="3" fillId="4" borderId="1" xfId="0" applyFont="1" applyFill="1" applyBorder="1"/>
    <x:xf numFmtId="0" fontId="3" fillId="0" borderId="3" xfId="0" applyFont="1" applyBorder="1"/>
    <x:xf numFmtId="0" fontId="0" fillId="0" borderId="2" xfId="0" applyBorder="1"/>
    <x:xf numFmtId="0" fontId="2" fillId="0" borderId="2" xfId="0" applyFont="1" applyBorder="1"/>
    <x:xf numFmtId="0" fontId="2" fillId="5" borderId="2" xfId="0" applyFont="1" applyFill="1" applyBorder="1"/>
    <x:xf numFmtId="0" fontId="3" fillId="0" borderId="1" xfId="0" applyFont="1" applyBorder="1" applyAlignment="1">
      <x:alignment horizontal="left" vertical="top"/>
    </x:xf>
    <x:xf numFmtId="0" fontId="0" fillId="0" borderId="0" xfId="0" applyAlignment="1">
      <x:alignment horizontal="left" vertical="top"/>
    </x:xf>
    <x:xf numFmtId="0" fontId="3" fillId="4" borderId="1" xfId="0" applyFont="1" applyFill="1" applyBorder="1" applyAlignment="1">
      <x:alignment horizontal="left" vertical="top"/>
    </x:xf>
    <x:xf numFmtId="0" fontId="0" fillId="0" borderId="2" xfId="0" applyBorder="1" applyAlignment="1">
      <x:alignment horizontal="left" vertical="top"/>
    </x:xf>
    <x:xf numFmtId="0" fontId="2" fillId="5" borderId="2" xfId="0" applyFont="1" applyFill="1" applyBorder="1" applyAlignment="1">
      <x:alignment horizontal="left" vertical="top"/>
    </x:xf>
    <x:xf numFmtId="0" fontId="4" fillId="3" borderId="1" xfId="0" applyFont="1" applyFill="1" applyBorder="1" applyAlignment="1">
      <x:alignment horizontal="center" vertical="top"/>
    </x:xf>
    <x:xf numFmtId="0" fontId="3" fillId="2" borderId="1" xfId="0" applyFont="1" applyFill="1" applyBorder="1" applyAlignment="1">
      <x:alignment horizontal="right" vertical="top"/>
    </x:xf>
    <x:xf numFmtId="0" fontId="0" fillId="0" borderId="0" xfId="0" applyAlignment="1">
      <x:alignment horizontal="right" vertical="top"/>
    </x:xf>
    <x:xf numFmtId="0" fontId="3" fillId="4" borderId="1" xfId="0" applyFont="1" applyFill="1" applyBorder="1" applyAlignment="1">
      <x:alignment horizontal="right" vertical="top"/>
    </x:xf>
    <x:xf numFmtId="0" fontId="3" fillId="0" borderId="1" xfId="0" applyFont="1" applyBorder="1" applyAlignment="1">
      <x:alignment horizontal="right" vertical="top"/>
    </x:xf>
    <x:xf numFmtId="0" fontId="3" fillId="0" borderId="3" xfId="0" applyFont="1" applyBorder="1" applyAlignment="1">
      <x:alignment horizontal="right" vertical="top"/>
    </x:xf>
    <x:xf numFmtId="0" fontId="0" fillId="0" borderId="2" xfId="0" applyBorder="1" applyAlignment="1">
      <x:alignment horizontal="right" vertical="top"/>
    </x:xf>
    <x:xf numFmtId="0" fontId="2" fillId="5" borderId="2" xfId="0" applyFont="1" applyFill="1" applyBorder="1" applyAlignment="1">
      <x:alignment horizontal="right" vertical="top"/>
    </x:xf>
    <x:xf numFmtId="0" fontId="4" fillId="3" borderId="1" xfId="0" applyFont="1" applyFill="1" applyBorder="1" applyAlignment="1">
      <x:alignment horizontal="center" vertical="top" wrapText="1"/>
    </x:xf>
    <x:xf numFmtId="0" fontId="0" fillId="0" borderId="0" xfId="0" applyAlignment="1">
      <x:alignment horizontal="left" vertical="top" wrapText="1"/>
    </x:xf>
    <x:xf numFmtId="0" fontId="3" fillId="4" borderId="1" xfId="0" applyFont="1" applyFill="1" applyBorder="1" applyAlignment="1">
      <x:alignment horizontal="left" vertical="top" wrapText="1"/>
    </x:xf>
    <x:xf numFmtId="0" fontId="5" fillId="0" borderId="1" xfId="0" applyFont="1" applyBorder="1" applyAlignment="1">
      <x:alignment horizontal="left" vertical="top" wrapText="1"/>
    </x:xf>
    <x:xf numFmtId="0" fontId="0" fillId="0" borderId="2" xfId="0" applyBorder="1" applyAlignment="1">
      <x:alignment horizontal="left" vertical="top" wrapText="1"/>
    </x:xf>
    <x:xf numFmtId="0" fontId="2" fillId="5" borderId="2" xfId="0" applyFont="1" applyFill="1" applyBorder="1" applyAlignment="1">
      <x:alignment horizontal="left" vertical="top" wrapText="1"/>
    </x:xf>
    <x:xf numFmtId="0" fontId="5" fillId="0" borderId="1" xfId="0" applyFont="1" applyBorder="1"/>
    <x:xf numFmtId="0" fontId="5" fillId="0" borderId="1" xfId="0" applyFont="1" applyBorder="1" applyAlignment="1">
      <x:alignment horizontal="left" vertical="top"/>
    </x:xf>
    <x:xf numFmtId="0" fontId="5" fillId="0" borderId="3" xfId="0" applyFont="1" applyBorder="1" applyAlignment="1">
      <x:alignment horizontal="left" vertical="top"/>
    </x:xf>
    <x:xf numFmtId="0" fontId="2" fillId="0" borderId="2" xfId="0" applyFont="1" applyBorder="1" applyAlignment="1">
      <x:alignment horizontal="left" vertical="top"/>
    </x:xf>
    <x:xf numFmtId="0" fontId="0" fillId="5" borderId="2" xfId="0" applyFill="1" applyBorder="1" applyAlignment="1">
      <x:alignment horizontal="right" vertical="top"/>
    </x:xf>
    <x:xf numFmtId="0" fontId="0" fillId="5" borderId="2" xfId="0" applyFill="1" applyBorder="1" applyAlignment="1">
      <x:alignment horizontal="left" vertical="top" wrapText="1"/>
    </x:xf>
    <x:xf numFmtId="0" fontId="0" fillId="5" borderId="2" xfId="0" applyFill="1" applyBorder="1"/>
    <x:xf numFmtId="0" fontId="5" fillId="0" borderId="3" xfId="0" applyFont="1" applyBorder="1"/>
    <x:xf numFmtId="0" fontId="5" fillId="0" borderId="3" xfId="0" applyFont="1" applyBorder="1" applyAlignment="1">
      <x:alignment horizontal="left" vertical="top" wrapText="1"/>
    </x:xf>
    <x:xf numFmtId="0" fontId="3" fillId="6" borderId="1" xfId="0" applyFont="1" applyFill="1" applyBorder="1" applyAlignment="1">
      <x:alignment horizontal="right" vertical="top"/>
    </x:xf>
    <x:xf numFmtId="0" fontId="3" fillId="6" borderId="1" xfId="0" applyFont="1" applyFill="1" applyBorder="1" applyAlignment="1">
      <x:alignment horizontal="left" vertical="top"/>
    </x:xf>
    <x:xf numFmtId="0" fontId="5" fillId="6" borderId="1" xfId="0" applyFont="1" applyFill="1" applyBorder="1" applyAlignment="1">
      <x:alignment horizontal="left" vertical="top" wrapText="1"/>
    </x:xf>
    <x:xf numFmtId="0" fontId="3" fillId="6" borderId="1" xfId="0" applyFont="1" applyFill="1" applyBorder="1"/>
    <x:xf numFmtId="0" fontId="1" fillId="0" borderId="0" xfId="0" applyFont="1" applyAlignment="1">
      <x:alignment horizontal="left" vertical="top" wrapText="1"/>
    </x:xf>
    <x:xf numFmtId="0" fontId="1" fillId="0" borderId="2" xfId="0" applyFont="1" applyBorder="1" applyAlignment="1">
      <x:alignment horizontal="left" vertical="top" wrapText="1"/>
    </x:xf>
    <x:xf numFmtId="0" fontId="1" fillId="0" borderId="2" xfId="0" applyFont="1" applyBorder="1" applyAlignment="1">
      <x:alignment horizontal="left" vertical="top"/>
    </x:xf>
    <x:xf numFmtId="0" fontId="1" fillId="0" borderId="2" xfId="0" applyFont="1" applyBorder="1"/>
    <x:xf numFmtId="0" fontId="1" fillId="0" borderId="0" xfId="0" applyFont="1" applyAlignment="1">
      <x:alignment horizontal="left" vertical="top"/>
    </x:xf>
    <x:xf numFmtId="0" fontId="0" fillId="7" borderId="2" xfId="0" applyFill="1" applyBorder="1" applyAlignment="1">
      <x:alignment horizontal="left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4" fillId="3" borderId="5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5" borderId="7" xfId="0" applyNumberFormat="1" applyFont="1" applyFill="1" applyBorder="1"/>
    <x:xf numFmtId="0" fontId="0" fillId="0" borderId="5" xfId="0" applyNumberFormat="1" applyFont="1" applyFill="1" applyBorder="1" applyAlignment="1">
      <x:alignment horizontal="left" vertical="top"/>
    </x:xf>
    <x:xf numFmtId="0" fontId="0" fillId="0" borderId="4" xfId="0" applyNumberFormat="1" applyFont="1" applyFill="1" applyBorder="1" applyAlignment="1">
      <x:alignment horizontal="left" vertical="top"/>
    </x:xf>
    <x:xf numFmtId="0" fontId="0" fillId="4" borderId="5" xfId="0" applyNumberFormat="1" applyFont="1" applyFill="1" applyBorder="1" applyAlignment="1">
      <x:alignment horizontal="left" vertical="top"/>
    </x:xf>
    <x:xf numFmtId="0" fontId="0" fillId="0" borderId="7" xfId="0" applyNumberFormat="1" applyFont="1" applyFill="1" applyBorder="1" applyAlignment="1">
      <x:alignment horizontal="left" vertical="top"/>
    </x:xf>
    <x:xf numFmtId="0" fontId="0" fillId="5" borderId="7" xfId="0" applyNumberFormat="1" applyFont="1" applyFill="1" applyBorder="1" applyAlignment="1">
      <x:alignment horizontal="left" vertical="top"/>
    </x:xf>
    <x:xf numFmtId="0" fontId="4" fillId="3" borderId="5" xfId="0" applyNumberFormat="1" applyFont="1" applyFill="1" applyBorder="1" applyAlignment="1">
      <x:alignment horizontal="center" vertical="top"/>
    </x:xf>
    <x:xf numFmtId="0" fontId="0" fillId="2" borderId="5" xfId="0" applyNumberFormat="1" applyFont="1" applyFill="1" applyBorder="1" applyAlignment="1">
      <x:alignment horizontal="right" vertical="top"/>
    </x:xf>
    <x:xf numFmtId="0" fontId="0" fillId="0" borderId="4" xfId="0" applyNumberFormat="1" applyFont="1" applyFill="1" applyBorder="1" applyAlignment="1">
      <x:alignment horizontal="right" vertical="top"/>
    </x:xf>
    <x:xf numFmtId="0" fontId="0" fillId="4" borderId="5" xfId="0" applyNumberFormat="1" applyFont="1" applyFill="1" applyBorder="1" applyAlignment="1">
      <x:alignment horizontal="right" vertical="top"/>
    </x:xf>
    <x:xf numFmtId="0" fontId="0" fillId="0" borderId="5" xfId="0" applyNumberFormat="1" applyFont="1" applyFill="1" applyBorder="1" applyAlignment="1">
      <x:alignment horizontal="right" vertical="top"/>
    </x:xf>
    <x:xf numFmtId="0" fontId="0" fillId="0" borderId="6" xfId="0" applyNumberFormat="1" applyFont="1" applyFill="1" applyBorder="1" applyAlignment="1">
      <x:alignment horizontal="right" vertical="top"/>
    </x:xf>
    <x:xf numFmtId="0" fontId="0" fillId="0" borderId="7" xfId="0" applyNumberFormat="1" applyFont="1" applyFill="1" applyBorder="1" applyAlignment="1">
      <x:alignment horizontal="right" vertical="top"/>
    </x:xf>
    <x:xf numFmtId="0" fontId="0" fillId="5" borderId="7" xfId="0" applyNumberFormat="1" applyFont="1" applyFill="1" applyBorder="1" applyAlignment="1">
      <x:alignment horizontal="right" vertical="top"/>
    </x:xf>
    <x:xf numFmtId="0" fontId="4" fillId="3" borderId="5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left" vertical="top" wrapText="1"/>
    </x:xf>
    <x:xf numFmtId="0" fontId="0" fillId="4" borderId="5" xfId="0" applyNumberFormat="1" applyFont="1" applyFill="1" applyBorder="1" applyAlignment="1">
      <x:alignment horizontal="left" vertical="top" wrapText="1"/>
    </x:xf>
    <x:xf numFmtId="0" fontId="0" fillId="0" borderId="5" xfId="0" applyNumberFormat="1" applyFont="1" applyFill="1" applyBorder="1" applyAlignment="1">
      <x:alignment horizontal="left" vertical="top" wrapText="1"/>
    </x:xf>
    <x:xf numFmtId="0" fontId="0" fillId="0" borderId="7" xfId="0" applyNumberFormat="1" applyFont="1" applyFill="1" applyBorder="1" applyAlignment="1">
      <x:alignment horizontal="left" vertical="top" wrapText="1"/>
    </x:xf>
    <x:xf numFmtId="0" fontId="0" fillId="5" borderId="7" xfId="0" applyNumberFormat="1" applyFont="1" applyFill="1" applyBorder="1" applyAlignment="1">
      <x:alignment horizontal="left" vertical="top" wrapText="1"/>
    </x:xf>
    <x:xf numFmtId="0" fontId="0" fillId="0" borderId="6" xfId="0" applyNumberFormat="1" applyFont="1" applyFill="1" applyBorder="1" applyAlignment="1">
      <x:alignment horizontal="left" vertical="top"/>
    </x:xf>
    <x:xf numFmtId="0" fontId="0" fillId="0" borderId="6" xfId="0" applyNumberFormat="1" applyFont="1" applyFill="1" applyBorder="1" applyAlignment="1">
      <x:alignment horizontal="left" vertical="top" wrapText="1"/>
    </x:xf>
    <x:xf numFmtId="0" fontId="0" fillId="6" borderId="5" xfId="0" applyNumberFormat="1" applyFont="1" applyFill="1" applyBorder="1" applyAlignment="1">
      <x:alignment horizontal="right" vertical="top"/>
    </x:xf>
    <x:xf numFmtId="0" fontId="0" fillId="6" borderId="5" xfId="0" applyNumberFormat="1" applyFont="1" applyFill="1" applyBorder="1" applyAlignment="1">
      <x:alignment horizontal="left" vertical="top"/>
    </x:xf>
    <x:xf numFmtId="0" fontId="0" fillId="6" borderId="5" xfId="0" applyNumberFormat="1" applyFont="1" applyFill="1" applyBorder="1" applyAlignment="1">
      <x:alignment horizontal="left" vertical="top" wrapText="1"/>
    </x:xf>
    <x:xf numFmtId="0" fontId="0" fillId="6" borderId="5" xfId="0" applyNumberFormat="1" applyFont="1" applyFill="1" applyBorder="1"/>
    <x:xf numFmtId="0" fontId="0" fillId="7" borderId="7" xfId="0" applyNumberFormat="1" applyFont="1" applyFill="1" applyBorder="1" applyAlignment="1">
      <x:alignment horizontal="left" vertical="center" wrapText="1"/>
    </x:xf>
    <x:xf numFmtId="0" fontId="0" fillId="0" borderId="7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 applyAlignment="1">
      <x:alignment horizontal="right" vertical="top" wrapText="1"/>
    </x:xf>
    <x:xf numFmtId="0" fontId="0" fillId="4" borderId="1" xfId="0" applyNumberFormat="1" applyFont="1" applyFill="1" applyBorder="1" applyAlignment="1">
      <x:alignment horizontal="left"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horizontal="right" vertical="top" wrapText="1"/>
    </x:xf>
    <x:xf numFmtId="0" fontId="0" fillId="6" borderId="1" xfId="0" applyNumberFormat="1" applyFont="1" applyFill="1" applyBorder="1" applyAlignment="1">
      <x:alignment horizontal="left" vertical="top"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horizontal="right" vertical="top" wrapText="1"/>
    </x:xf>
    <x:xf numFmtId="0" fontId="0" fillId="0" borderId="3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right" vertical="top" wrapText="1"/>
    </x:xf>
    <x:xf numFmtId="0" fontId="0" fillId="0" borderId="2" xfId="0" applyNumberFormat="1" applyFont="1" applyFill="1" applyBorder="1" applyAlignment="1">
      <x:alignment horizontal="left"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horizontal="right" vertical="top" wrapText="1"/>
    </x:xf>
    <x:xf numFmtId="0" fontId="0" fillId="5" borderId="2" xfId="0" applyNumberFormat="1" applyFont="1" applyFill="1" applyBorder="1" applyAlignment="1">
      <x:alignment horizontal="left" vertical="top" wrapText="1"/>
    </x:xf>
    <x:xf numFmtId="0" fontId="0" fillId="5" borderId="2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horizontal="right" vertical="top" wrapText="1"/>
    </x:xf>
    <x:xf numFmtId="0" fontId="0" fillId="4" borderId="5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horizontal="right" vertical="top" wrapText="1"/>
    </x:xf>
    <x:xf numFmtId="0" fontId="0" fillId="6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right" vertical="top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horizontal="right" vertical="top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horizontal="right" vertical="top" wrapText="1"/>
    </x:xf>
    <x:xf numFmtId="0" fontId="0" fillId="0" borderId="7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horizontal="right" vertical="top" wrapText="1"/>
    </x:xf>
    <x:xf numFmtId="0" fontId="0" fillId="5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horizontal="left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right" vertical="top" wrapText="1"/>
    </x:xf>
    <x:xf numFmtId="0" fontId="8" fillId="4" borderId="1" xfId="0" applyNumberFormat="1" applyFont="1" applyFill="1" applyBorder="1" applyAlignment="1">
      <x:alignment horizontal="left"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horizontal="right" vertical="top" wrapText="1"/>
    </x:xf>
    <x:xf numFmtId="0" fontId="8" fillId="6" borderId="1" xfId="0" applyNumberFormat="1" applyFont="1" applyFill="1" applyBorder="1" applyAlignment="1">
      <x:alignment horizontal="left"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right" vertical="top" wrapText="1"/>
    </x:xf>
    <x:xf numFmtId="0" fontId="8" fillId="0" borderId="1" xfId="0" applyNumberFormat="1" applyFont="1" applyFill="1" applyBorder="1" applyAlignment="1">
      <x:alignment horizontal="left"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horizontal="right" vertical="top" wrapText="1"/>
    </x:xf>
    <x:xf numFmtId="0" fontId="8" fillId="0" borderId="3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 applyAlignment="1">
      <x:alignment horizontal="left"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horizontal="right" vertical="top" wrapText="1"/>
    </x:xf>
    <x:xf numFmtId="0" fontId="8" fillId="0" borderId="2" xfId="0" applyNumberFormat="1" applyFont="1" applyFill="1" applyBorder="1" applyAlignment="1">
      <x:alignment horizontal="left"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horizontal="right" vertical="top" wrapText="1"/>
    </x:xf>
    <x:xf numFmtId="0" fontId="8" fillId="5" borderId="2" xfId="0" applyNumberFormat="1" applyFont="1" applyFill="1" applyBorder="1" applyAlignment="1">
      <x:alignment horizontal="left"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horizontal="right" vertical="top" wrapText="1"/>
    </x:xf>
    <x:xf numFmtId="0" fontId="8" fillId="4" borderId="5" xfId="0" applyNumberFormat="1" applyFont="1" applyFill="1" applyBorder="1" applyAlignment="1">
      <x:alignment horizontal="left" vertical="top" wrapText="1"/>
    </x:xf>
    <x:xf numFmtId="0" fontId="8" fillId="4" borderId="5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horizontal="right" vertical="top" wrapText="1"/>
    </x:xf>
    <x:xf numFmtId="0" fontId="8" fillId="6" borderId="5" xfId="0" applyNumberFormat="1" applyFont="1" applyFill="1" applyBorder="1" applyAlignment="1">
      <x:alignment horizontal="left" vertical="top" wrapText="1"/>
    </x:xf>
    <x:xf numFmtId="0" fontId="8" fillId="6" borderId="5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horizontal="right" vertical="top" wrapText="1"/>
    </x:xf>
    <x:xf numFmtId="0" fontId="8" fillId="0" borderId="5" xfId="0" applyNumberFormat="1" applyFont="1" applyFill="1" applyBorder="1" applyAlignment="1">
      <x:alignment horizontal="left"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horizontal="right" vertical="top" wrapText="1"/>
    </x:xf>
    <x:xf numFmtId="0" fontId="8" fillId="0" borderId="6" xfId="0" applyNumberFormat="1" applyFont="1" applyFill="1" applyBorder="1" applyAlignment="1">
      <x:alignment horizontal="left" vertical="top" wrapText="1"/>
    </x:xf>
    <x:xf numFmtId="0" fontId="8" fillId="0" borderId="4" xfId="0" applyNumberFormat="1" applyFont="1" applyFill="1" applyBorder="1" applyAlignment="1">
      <x:alignment horizontal="left"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horizontal="right" vertical="top" wrapText="1"/>
    </x:xf>
    <x:xf numFmtId="0" fontId="8" fillId="0" borderId="7" xfId="0" applyNumberFormat="1" applyFont="1" applyFill="1" applyBorder="1" applyAlignment="1">
      <x:alignment horizontal="left"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5" borderId="7" xfId="0" applyNumberFormat="1" applyFont="1" applyFill="1" applyBorder="1" applyAlignment="1">
      <x:alignment horizontal="right" vertical="top" wrapText="1"/>
    </x:xf>
    <x:xf numFmtId="0" fontId="8" fillId="5" borderId="7" xfId="0" applyNumberFormat="1" applyFont="1" applyFill="1" applyBorder="1" applyAlignment="1">
      <x:alignment horizontal="left" vertical="top" wrapText="1"/>
    </x:xf>
    <x:xf numFmtId="0" fontId="8" fillId="5" borderId="7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horizontal="left"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horizontal="right" vertical="top" wrapText="1"/>
    </x:xf>
    <x:xf numFmtId="0" fontId="9" fillId="4" borderId="1" xfId="0" applyNumberFormat="1" applyFont="1" applyFill="1" applyBorder="1" applyAlignment="1">
      <x:alignment horizontal="left"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horizontal="right" vertical="top" wrapText="1"/>
    </x:xf>
    <x:xf numFmtId="0" fontId="9" fillId="6" borderId="1" xfId="0" applyNumberFormat="1" applyFont="1" applyFill="1" applyBorder="1" applyAlignment="1">
      <x:alignment horizontal="left"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horizontal="right" vertical="top" wrapText="1"/>
    </x:xf>
    <x:xf numFmtId="0" fontId="9" fillId="0" borderId="1" xfId="0" applyNumberFormat="1" applyFont="1" applyFill="1" applyBorder="1" applyAlignment="1">
      <x:alignment horizontal="left"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horizontal="right" vertical="top" wrapText="1"/>
    </x:xf>
    <x:xf numFmtId="0" fontId="9" fillId="0" borderId="3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horizontal="left"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horizontal="right" vertical="top" wrapText="1"/>
    </x:xf>
    <x:xf numFmtId="0" fontId="9" fillId="0" borderId="2" xfId="0" applyNumberFormat="1" applyFont="1" applyFill="1" applyBorder="1" applyAlignment="1">
      <x:alignment horizontal="left"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5" borderId="2" xfId="0" applyNumberFormat="1" applyFont="1" applyFill="1" applyBorder="1" applyAlignment="1">
      <x:alignment horizontal="right" vertical="top" wrapText="1"/>
    </x:xf>
    <x:xf numFmtId="0" fontId="9" fillId="5" borderId="2" xfId="0" applyNumberFormat="1" applyFont="1" applyFill="1" applyBorder="1" applyAlignment="1">
      <x:alignment horizontal="left" vertical="top"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horizontal="right" vertical="top" wrapText="1"/>
    </x:xf>
    <x:xf numFmtId="0" fontId="9" fillId="4" borderId="5" xfId="0" applyNumberFormat="1" applyFont="1" applyFill="1" applyBorder="1" applyAlignment="1">
      <x:alignment horizontal="left"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horizontal="right" vertical="top" wrapText="1"/>
    </x:xf>
    <x:xf numFmtId="0" fontId="9" fillId="6" borderId="5" xfId="0" applyNumberFormat="1" applyFont="1" applyFill="1" applyBorder="1" applyAlignment="1">
      <x:alignment horizontal="left" vertical="top" wrapText="1"/>
    </x:xf>
    <x:xf numFmtId="0" fontId="9" fillId="6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horizontal="right" vertical="top" wrapText="1"/>
    </x:xf>
    <x:xf numFmtId="0" fontId="9" fillId="0" borderId="5" xfId="0" applyNumberFormat="1" applyFont="1" applyFill="1" applyBorder="1" applyAlignment="1">
      <x:alignment horizontal="left"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horizontal="right" vertical="top" wrapText="1"/>
    </x:xf>
    <x:xf numFmtId="0" fontId="9" fillId="0" borderId="6" xfId="0" applyNumberFormat="1" applyFont="1" applyFill="1" applyBorder="1" applyAlignment="1">
      <x:alignment horizontal="left" vertical="top" wrapText="1"/>
    </x:xf>
    <x:xf numFmtId="0" fontId="9" fillId="0" borderId="4" xfId="0" applyNumberFormat="1" applyFont="1" applyFill="1" applyBorder="1" applyAlignment="1">
      <x:alignment horizontal="left"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horizontal="right" vertical="top" wrapText="1"/>
    </x:xf>
    <x:xf numFmtId="0" fontId="9" fillId="0" borderId="7" xfId="0" applyNumberFormat="1" applyFont="1" applyFill="1" applyBorder="1" applyAlignment="1">
      <x:alignment horizontal="left"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horizontal="right" vertical="top" wrapText="1"/>
    </x:xf>
    <x:xf numFmtId="0" fontId="9" fillId="5" borderId="7" xfId="0" applyNumberFormat="1" applyFont="1" applyFill="1" applyBorder="1" applyAlignment="1">
      <x:alignment horizontal="left" vertical="top" wrapText="1"/>
    </x:xf>
    <x:xf numFmtId="0" fontId="9" fillId="5" borderId="7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 applyAlignment="1">
      <x:alignment horizontal="left"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horizontal="right" vertical="top" wrapText="1"/>
    </x:xf>
    <x:xf numFmtId="0" fontId="9" fillId="8" borderId="1" xfId="0" applyNumberFormat="1" applyFont="1" applyFill="1" applyBorder="1" applyAlignment="1">
      <x:alignment horizontal="left" vertical="top" wrapText="1"/>
    </x:xf>
    <x:xf numFmtId="0" fontId="9" fillId="8" borderId="1" xfId="0" applyNumberFormat="1" applyFont="1" applyFill="1" applyBorder="1" applyAlignment="1">
      <x:alignment vertical="top" wrapText="1"/>
    </x:xf>
    <x:xf numFmtId="0" fontId="9" fillId="8" borderId="3" xfId="0" applyNumberFormat="1" applyFont="1" applyFill="1" applyBorder="1" applyAlignment="1">
      <x:alignment horizontal="right" vertical="top" wrapText="1"/>
    </x:xf>
    <x:xf numFmtId="0" fontId="9" fillId="8" borderId="3" xfId="0" applyNumberFormat="1" applyFont="1" applyFill="1" applyBorder="1" applyAlignment="1">
      <x:alignment horizontal="left" vertical="top" wrapText="1"/>
    </x:xf>
    <x:xf numFmtId="0" fontId="9" fillId="8" borderId="0" xfId="0" applyNumberFormat="1" applyFont="1" applyFill="1" applyBorder="1" applyAlignment="1">
      <x:alignment horizontal="left" vertical="top" wrapText="1"/>
    </x:xf>
    <x:xf numFmtId="0" fontId="9" fillId="8" borderId="3" xfId="0" applyNumberFormat="1" applyFont="1" applyFill="1" applyBorder="1" applyAlignment="1">
      <x:alignment vertical="top" wrapText="1"/>
    </x:xf>
    <x:xf numFmtId="0" fontId="9" fillId="8" borderId="2" xfId="0" applyNumberFormat="1" applyFont="1" applyFill="1" applyBorder="1" applyAlignment="1">
      <x:alignment horizontal="right" vertical="top" wrapText="1"/>
    </x:xf>
    <x:xf numFmtId="0" fontId="9" fillId="8" borderId="2" xfId="0" applyNumberFormat="1" applyFont="1" applyFill="1" applyBorder="1" applyAlignment="1">
      <x:alignment horizontal="left" vertical="top" wrapText="1"/>
    </x:xf>
    <x:xf numFmtId="0" fontId="9" fillId="8" borderId="2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5" xfId="0" applyNumberFormat="1" applyFont="1" applyFill="1" applyBorder="1" applyAlignment="1">
      <x:alignment horizontal="right" vertical="top" wrapText="1"/>
    </x:xf>
    <x:xf numFmtId="0" fontId="9" fillId="8" borderId="5" xfId="0" applyNumberFormat="1" applyFont="1" applyFill="1" applyBorder="1" applyAlignment="1">
      <x:alignment horizontal="left" vertical="top" wrapText="1"/>
    </x:xf>
    <x:xf numFmtId="0" fontId="9" fillId="8" borderId="5" xfId="0" applyNumberFormat="1" applyFont="1" applyFill="1" applyBorder="1" applyAlignment="1">
      <x:alignment vertical="top" wrapText="1"/>
    </x:xf>
    <x:xf numFmtId="0" fontId="9" fillId="8" borderId="6" xfId="0" applyNumberFormat="1" applyFont="1" applyFill="1" applyBorder="1" applyAlignment="1">
      <x:alignment horizontal="right" vertical="top" wrapText="1"/>
    </x:xf>
    <x:xf numFmtId="0" fontId="9" fillId="8" borderId="6" xfId="0" applyNumberFormat="1" applyFont="1" applyFill="1" applyBorder="1" applyAlignment="1">
      <x:alignment horizontal="left" vertical="top" wrapText="1"/>
    </x:xf>
    <x:xf numFmtId="0" fontId="9" fillId="8" borderId="4" xfId="0" applyNumberFormat="1" applyFont="1" applyFill="1" applyBorder="1" applyAlignment="1">
      <x:alignment horizontal="left" vertical="top" wrapText="1"/>
    </x:xf>
    <x:xf numFmtId="0" fontId="9" fillId="8" borderId="6" xfId="0" applyNumberFormat="1" applyFont="1" applyFill="1" applyBorder="1" applyAlignment="1">
      <x:alignment vertical="top" wrapText="1"/>
    </x:xf>
    <x:xf numFmtId="0" fontId="9" fillId="8" borderId="7" xfId="0" applyNumberFormat="1" applyFont="1" applyFill="1" applyBorder="1" applyAlignment="1">
      <x:alignment horizontal="right" vertical="top" wrapText="1"/>
    </x:xf>
    <x:xf numFmtId="0" fontId="9" fillId="8" borderId="7" xfId="0" applyNumberFormat="1" applyFont="1" applyFill="1" applyBorder="1" applyAlignment="1">
      <x:alignment horizontal="left" vertical="top" wrapText="1"/>
    </x:xf>
    <x:xf numFmtId="0" fontId="9" fillId="8" borderId="7" xfId="0" applyNumberFormat="1" applyFont="1" applyFill="1" applyBorder="1" applyAlignment="1">
      <x:alignment vertical="top" wrapText="1"/>
    </x:xf>
    <x:xf numFmtId="0" fontId="9" fillId="8" borderId="4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horizontal="right" vertical="top" wrapText="1"/>
    </x:xf>
    <x:xf numFmtId="0" fontId="9" fillId="9" borderId="1" xfId="0" applyNumberFormat="1" applyFont="1" applyFill="1" applyBorder="1" applyAlignment="1">
      <x:alignment horizontal="left"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9" fillId="9" borderId="5" xfId="0" applyNumberFormat="1" applyFont="1" applyFill="1" applyBorder="1" applyAlignment="1">
      <x:alignment horizontal="right" vertical="top" wrapText="1"/>
    </x:xf>
    <x:xf numFmtId="0" fontId="9" fillId="9" borderId="5" xfId="0" applyNumberFormat="1" applyFont="1" applyFill="1" applyBorder="1" applyAlignment="1">
      <x:alignment horizontal="left" vertical="top" wrapText="1"/>
    </x:xf>
    <x:xf numFmtId="0" fontId="9" fillId="9" borderId="5" xfId="0" applyNumberFormat="1" applyFont="1" applyFill="1" applyBorder="1" applyAlignment="1">
      <x:alignment vertical="top" wrapText="1"/>
    </x:xf>
    <x:xf numFmtId="0" fontId="10" fillId="9" borderId="1" xfId="0" applyNumberFormat="1" applyFont="1" applyFill="1" applyBorder="1" applyAlignment="1">
      <x:alignment horizontal="right" vertical="top" wrapText="1"/>
    </x:xf>
    <x:xf numFmtId="0" fontId="10" fillId="9" borderId="1" xfId="0" applyNumberFormat="1" applyFont="1" applyFill="1" applyBorder="1" applyAlignment="1">
      <x:alignment horizontal="left" vertical="top" wrapText="1"/>
    </x:xf>
    <x:xf numFmtId="0" fontId="10" fillId="9" borderId="5" xfId="0" applyNumberFormat="1" applyFont="1" applyFill="1" applyBorder="1" applyAlignment="1">
      <x:alignment horizontal="right" vertical="top" wrapText="1"/>
    </x:xf>
    <x:xf numFmtId="0" fontId="10" fillId="9" borderId="5" xfId="0" applyNumberFormat="1" applyFont="1" applyFill="1" applyBorder="1" applyAlignment="1">
      <x:alignment horizontal="left" vertical="top"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9" borderId="5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9" fillId="9" borderId="5" xfId="0" applyNumberFormat="1" applyFont="1" applyFill="1" applyBorder="1" applyAlignment="1">
      <x:alignment horizontal="center" vertical="center" wrapText="1"/>
    </x:xf>
    <x:xf numFmtId="0" fontId="10" fillId="8" borderId="1" xfId="0" applyNumberFormat="1" applyFont="1" applyFill="1" applyBorder="1" applyAlignment="1">
      <x:alignment horizontal="right" vertical="top" wrapText="1"/>
    </x:xf>
    <x:xf numFmtId="0" fontId="10" fillId="8" borderId="1" xfId="0" applyNumberFormat="1" applyFont="1" applyFill="1" applyBorder="1" applyAlignment="1">
      <x:alignment horizontal="left" vertical="top" wrapText="1"/>
    </x:xf>
    <x:xf numFmtId="0" fontId="10" fillId="8" borderId="5" xfId="0" applyNumberFormat="1" applyFont="1" applyFill="1" applyBorder="1" applyAlignment="1">
      <x:alignment horizontal="right" vertical="top" wrapText="1"/>
    </x:xf>
    <x:xf numFmtId="0" fontId="10" fillId="8" borderId="5" xfId="0" applyNumberFormat="1" applyFont="1" applyFill="1" applyBorder="1" applyAlignment="1">
      <x:alignment horizontal="left" vertical="top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10" fillId="8" borderId="3" xfId="0" applyNumberFormat="1" applyFont="1" applyFill="1" applyBorder="1" applyAlignment="1">
      <x:alignment horizontal="right" vertical="top" wrapText="1"/>
    </x:xf>
    <x:xf numFmtId="0" fontId="10" fillId="8" borderId="3" xfId="0" applyNumberFormat="1" applyFont="1" applyFill="1" applyBorder="1" applyAlignment="1">
      <x:alignment horizontal="left" vertical="top" wrapText="1"/>
    </x:xf>
    <x:xf numFmtId="0" fontId="10" fillId="8" borderId="6" xfId="0" applyNumberFormat="1" applyFont="1" applyFill="1" applyBorder="1" applyAlignment="1">
      <x:alignment horizontal="right" vertical="top" wrapText="1"/>
    </x:xf>
    <x:xf numFmtId="0" fontId="10" fillId="8" borderId="6" xfId="0" applyNumberFormat="1" applyFont="1" applyFill="1" applyBorder="1" applyAlignment="1">
      <x:alignment horizontal="left" vertical="top" wrapText="1"/>
    </x:xf>
    <x:xf numFmtId="0" fontId="9" fillId="8" borderId="3" xfId="0" applyNumberFormat="1" applyFont="1" applyFill="1" applyBorder="1" applyAlignment="1">
      <x:alignment vertical="center" wrapText="1"/>
    </x:xf>
    <x:xf numFmtId="0" fontId="9" fillId="8" borderId="6" xfId="0" applyNumberFormat="1" applyFont="1" applyFill="1" applyBorder="1" applyAlignment="1">
      <x:alignment vertical="center" wrapText="1"/>
    </x:xf>
    <x:xf numFmtId="0" fontId="9" fillId="8" borderId="3" xfId="0" applyNumberFormat="1" applyFont="1" applyFill="1" applyBorder="1" applyAlignment="1">
      <x:alignment horizontal="center" vertical="center" wrapText="1"/>
    </x:xf>
    <x:xf numFmtId="0" fontId="9" fillId="8" borderId="6" xfId="0" applyNumberFormat="1" applyFont="1" applyFill="1" applyBorder="1" applyAlignment="1">
      <x:alignment horizontal="center" vertical="center" wrapText="1"/>
    </x:xf>
    <x:xf numFmtId="0" fontId="9" fillId="9" borderId="2" xfId="0" applyNumberFormat="1" applyFont="1" applyFill="1" applyBorder="1" applyAlignment="1">
      <x:alignment horizontal="right" vertical="top" wrapText="1"/>
    </x:xf>
    <x:xf numFmtId="0" fontId="9" fillId="9" borderId="2" xfId="0" applyNumberFormat="1" applyFont="1" applyFill="1" applyBorder="1" applyAlignment="1">
      <x:alignment horizontal="left" vertical="top" wrapText="1"/>
    </x:xf>
    <x:xf numFmtId="0" fontId="9" fillId="9" borderId="3" xfId="0" applyNumberFormat="1" applyFont="1" applyFill="1" applyBorder="1" applyAlignment="1">
      <x:alignment horizontal="left" vertical="top" wrapText="1"/>
    </x:xf>
    <x:xf numFmtId="0" fontId="9" fillId="9" borderId="2" xfId="0" applyNumberFormat="1" applyFont="1" applyFill="1" applyBorder="1" applyAlignment="1">
      <x:alignment vertical="top" wrapText="1"/>
    </x:xf>
    <x:xf numFmtId="0" fontId="9" fillId="9" borderId="7" xfId="0" applyNumberFormat="1" applyFont="1" applyFill="1" applyBorder="1" applyAlignment="1">
      <x:alignment horizontal="right" vertical="top" wrapText="1"/>
    </x:xf>
    <x:xf numFmtId="0" fontId="9" fillId="9" borderId="7" xfId="0" applyNumberFormat="1" applyFont="1" applyFill="1" applyBorder="1" applyAlignment="1">
      <x:alignment horizontal="left" vertical="top" wrapText="1"/>
    </x:xf>
    <x:xf numFmtId="0" fontId="9" fillId="9" borderId="6" xfId="0" applyNumberFormat="1" applyFont="1" applyFill="1" applyBorder="1" applyAlignment="1">
      <x:alignment horizontal="left" vertical="top" wrapText="1"/>
    </x:xf>
    <x:xf numFmtId="0" fontId="9" fillId="9" borderId="7" xfId="0" applyNumberFormat="1" applyFont="1" applyFill="1" applyBorder="1" applyAlignment="1">
      <x:alignment vertical="top" wrapText="1"/>
    </x:xf>
    <x:xf numFmtId="0" fontId="10" fillId="9" borderId="2" xfId="0" applyNumberFormat="1" applyFont="1" applyFill="1" applyBorder="1" applyAlignment="1">
      <x:alignment horizontal="right" vertical="top" wrapText="1"/>
    </x:xf>
    <x:xf numFmtId="0" fontId="10" fillId="9" borderId="2" xfId="0" applyNumberFormat="1" applyFont="1" applyFill="1" applyBorder="1" applyAlignment="1">
      <x:alignment horizontal="left" vertical="top" wrapText="1"/>
    </x:xf>
    <x:xf numFmtId="0" fontId="10" fillId="9" borderId="7" xfId="0" applyNumberFormat="1" applyFont="1" applyFill="1" applyBorder="1" applyAlignment="1">
      <x:alignment horizontal="right" vertical="top" wrapText="1"/>
    </x:xf>
    <x:xf numFmtId="0" fontId="10" fillId="9" borderId="7" xfId="0" applyNumberFormat="1" applyFont="1" applyFill="1" applyBorder="1" applyAlignment="1">
      <x:alignment horizontal="left" vertical="top" wrapText="1"/>
    </x:xf>
    <x:xf numFmtId="0" fontId="9" fillId="9" borderId="2" xfId="0" applyNumberFormat="1" applyFont="1" applyFill="1" applyBorder="1" applyAlignment="1">
      <x:alignment vertical="center" wrapText="1"/>
    </x:xf>
    <x:xf numFmtId="0" fontId="9" fillId="9" borderId="7" xfId="0" applyNumberFormat="1" applyFont="1" applyFill="1" applyBorder="1" applyAlignment="1">
      <x:alignment vertical="center" wrapText="1"/>
    </x:xf>
    <x:xf numFmtId="0" fontId="9" fillId="9" borderId="2" xfId="0" applyNumberFormat="1" applyFont="1" applyFill="1" applyBorder="1" applyAlignment="1">
      <x:alignment horizontal="center" vertical="center" wrapText="1"/>
    </x:xf>
    <x:xf numFmtId="0" fontId="9" fillId="9" borderId="7" xfId="0" applyNumberFormat="1" applyFont="1" applyFill="1" applyBorder="1" applyAlignment="1">
      <x:alignment horizontal="center" vertical="center" wrapText="1"/>
    </x:xf>
    <x:xf numFmtId="0" fontId="10" fillId="8" borderId="2" xfId="0" applyNumberFormat="1" applyFont="1" applyFill="1" applyBorder="1" applyAlignment="1">
      <x:alignment horizontal="right" vertical="top" wrapText="1"/>
    </x:xf>
    <x:xf numFmtId="0" fontId="10" fillId="8" borderId="2" xfId="0" applyNumberFormat="1" applyFont="1" applyFill="1" applyBorder="1" applyAlignment="1">
      <x:alignment horizontal="left" vertical="top" wrapText="1"/>
    </x:xf>
    <x:xf numFmtId="0" fontId="10" fillId="8" borderId="7" xfId="0" applyNumberFormat="1" applyFont="1" applyFill="1" applyBorder="1" applyAlignment="1">
      <x:alignment horizontal="right" vertical="top" wrapText="1"/>
    </x:xf>
    <x:xf numFmtId="0" fontId="10" fillId="8" borderId="7" xfId="0" applyNumberFormat="1" applyFont="1" applyFill="1" applyBorder="1" applyAlignment="1">
      <x:alignment horizontal="left" vertical="top" wrapText="1"/>
    </x:xf>
    <x:xf numFmtId="0" fontId="9" fillId="8" borderId="2" xfId="0" applyNumberFormat="1" applyFont="1" applyFill="1" applyBorder="1" applyAlignment="1">
      <x:alignment vertical="center" wrapText="1"/>
    </x:xf>
    <x:xf numFmtId="0" fontId="9" fillId="8" borderId="7" xfId="0" applyNumberFormat="1" applyFont="1" applyFill="1" applyBorder="1" applyAlignment="1">
      <x:alignment vertical="center" wrapText="1"/>
    </x:xf>
    <x:xf numFmtId="0" fontId="9" fillId="8" borderId="2" xfId="0" applyNumberFormat="1" applyFont="1" applyFill="1" applyBorder="1" applyAlignment="1">
      <x:alignment horizontal="center" vertical="center" wrapText="1"/>
    </x:xf>
    <x:xf numFmtId="0" fontId="9" fillId="8" borderId="7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 applyAlignment="1">
      <x:alignment horizontal="right" vertical="top" wrapText="1"/>
    </x:xf>
    <x:xf numFmtId="0" fontId="9" fillId="10" borderId="1" xfId="0" applyNumberFormat="1" applyFont="1" applyFill="1" applyBorder="1" applyAlignment="1">
      <x:alignment horizontal="left" vertical="top" wrapText="1"/>
    </x:xf>
    <x:xf numFmtId="0" fontId="9" fillId="10" borderId="1" xfId="0" applyNumberFormat="1" applyFont="1" applyFill="1" applyBorder="1" applyAlignment="1">
      <x:alignment vertical="top" wrapText="1"/>
    </x:xf>
    <x:xf numFmtId="0" fontId="9" fillId="10" borderId="5" xfId="0" applyNumberFormat="1" applyFont="1" applyFill="1" applyBorder="1" applyAlignment="1">
      <x:alignment horizontal="right" vertical="top" wrapText="1"/>
    </x:xf>
    <x:xf numFmtId="0" fontId="9" fillId="10" borderId="5" xfId="0" applyNumberFormat="1" applyFont="1" applyFill="1" applyBorder="1" applyAlignment="1">
      <x:alignment horizontal="left" vertical="top" wrapText="1"/>
    </x:xf>
    <x:xf numFmtId="0" fontId="9" fillId="10" borderId="5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horizontal="right" vertical="top" wrapText="1"/>
    </x:xf>
    <x:xf numFmtId="0" fontId="10" fillId="10" borderId="1" xfId="0" applyNumberFormat="1" applyFont="1" applyFill="1" applyBorder="1" applyAlignment="1">
      <x:alignment horizontal="left"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10" fillId="10" borderId="5" xfId="0" applyNumberFormat="1" applyFont="1" applyFill="1" applyBorder="1" applyAlignment="1">
      <x:alignment horizontal="right" vertical="top" wrapText="1"/>
    </x:xf>
    <x:xf numFmtId="0" fontId="10" fillId="10" borderId="5" xfId="0" applyNumberFormat="1" applyFont="1" applyFill="1" applyBorder="1" applyAlignment="1">
      <x:alignment horizontal="left" vertical="top" wrapText="1"/>
    </x:xf>
    <x:xf numFmtId="0" fontId="10" fillId="10" borderId="5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horizontal="right" vertical="center" wrapText="1"/>
    </x:xf>
    <x:xf numFmtId="0" fontId="10" fillId="10" borderId="1" xfId="0" applyNumberFormat="1" applyFont="1" applyFill="1" applyBorder="1" applyAlignment="1">
      <x:alignment horizontal="left" vertical="center" wrapText="1"/>
    </x:xf>
    <x:xf numFmtId="0" fontId="10" fillId="10" borderId="1" xfId="0" applyNumberFormat="1" applyFont="1" applyFill="1" applyBorder="1" applyAlignment="1">
      <x:alignment vertical="center" wrapText="1"/>
    </x:xf>
    <x:xf numFmtId="0" fontId="10" fillId="10" borderId="5" xfId="0" applyNumberFormat="1" applyFont="1" applyFill="1" applyBorder="1" applyAlignment="1">
      <x:alignment horizontal="right" vertical="center" wrapText="1"/>
    </x:xf>
    <x:xf numFmtId="0" fontId="10" fillId="10" borderId="5" xfId="0" applyNumberFormat="1" applyFont="1" applyFill="1" applyBorder="1" applyAlignment="1">
      <x:alignment horizontal="left" vertical="center" wrapText="1"/>
    </x:xf>
    <x:xf numFmtId="0" fontId="10" fillId="10" borderId="5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horizontal="center" vertical="top"/>
    </x:xf>
    <x:xf numFmtId="0" fontId="4" fillId="11" borderId="1" xfId="0" applyNumberFormat="1" applyFont="1" applyFill="1" applyBorder="1" applyAlignment="1">
      <x:alignment horizontal="center" vertical="top" wrapText="1"/>
    </x:xf>
    <x:xf numFmtId="0" fontId="4" fillId="11" borderId="1" xfId="0" applyNumberFormat="1" applyFont="1" applyFill="1" applyBorder="1" applyAlignment="1">
      <x:alignment horizontal="center"/>
    </x:xf>
    <x:xf numFmtId="0" fontId="4" fillId="11" borderId="5" xfId="0" applyNumberFormat="1" applyFont="1" applyFill="1" applyBorder="1" applyAlignment="1">
      <x:alignment horizontal="center" vertical="top"/>
    </x:xf>
    <x:xf numFmtId="0" fontId="4" fillId="11" borderId="5" xfId="0" applyNumberFormat="1" applyFont="1" applyFill="1" applyBorder="1" applyAlignment="1">
      <x:alignment horizontal="center" vertical="top" wrapText="1"/>
    </x:xf>
    <x:xf numFmtId="0" fontId="4" fillId="11" borderId="5" xfId="0" applyNumberFormat="1" applyFont="1" applyFill="1" applyBorder="1" applyAlignment="1">
      <x:alignment horizontal="center"/>
    </x:xf>
    <x:xf numFmtId="0" fontId="11" fillId="11" borderId="1" xfId="0" applyNumberFormat="1" applyFont="1" applyFill="1" applyBorder="1" applyAlignment="1">
      <x:alignment horizontal="center" vertical="top"/>
    </x:xf>
    <x:xf numFmtId="0" fontId="11" fillId="11" borderId="1" xfId="0" applyNumberFormat="1" applyFont="1" applyFill="1" applyBorder="1" applyAlignment="1">
      <x:alignment horizontal="center" vertical="top" wrapText="1"/>
    </x:xf>
    <x:xf numFmtId="0" fontId="11" fillId="11" borderId="1" xfId="0" applyNumberFormat="1" applyFont="1" applyFill="1" applyBorder="1" applyAlignment="1">
      <x:alignment horizontal="center"/>
    </x:xf>
    <x:xf numFmtId="0" fontId="11" fillId="11" borderId="5" xfId="0" applyNumberFormat="1" applyFont="1" applyFill="1" applyBorder="1" applyAlignment="1">
      <x:alignment horizontal="center" vertical="top"/>
    </x:xf>
    <x:xf numFmtId="0" fontId="11" fillId="11" borderId="5" xfId="0" applyNumberFormat="1" applyFont="1" applyFill="1" applyBorder="1" applyAlignment="1">
      <x:alignment horizontal="center" vertical="top" wrapText="1"/>
    </x:xf>
    <x:xf numFmtId="0" fontId="11" fillId="11" borderId="5" xfId="0" applyNumberFormat="1" applyFont="1" applyFill="1" applyBorder="1" applyAlignment="1">
      <x:alignment horizontal="center"/>
    </x:xf>
    <x:xf numFmtId="0" fontId="11" fillId="11" borderId="1" xfId="0" applyNumberFormat="1" applyFont="1" applyFill="1" applyBorder="1" applyAlignment="1">
      <x:alignment horizontal="center" vertical="center"/>
    </x:xf>
    <x:xf numFmtId="0" fontId="11" fillId="11" borderId="1" xfId="0" applyNumberFormat="1" applyFont="1" applyFill="1" applyBorder="1" applyAlignment="1">
      <x:alignment horizontal="center" vertical="center" wrapText="1"/>
    </x:xf>
    <x:xf numFmtId="0" fontId="11" fillId="11" borderId="5" xfId="0" applyNumberFormat="1" applyFont="1" applyFill="1" applyBorder="1" applyAlignment="1">
      <x:alignment horizontal="center" vertical="center"/>
    </x:xf>
    <x:xf numFmtId="0" fontId="11" fillId="11" borderId="5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horizontal="right" vertical="top"/>
    </x:xf>
    <x:xf numFmtId="0" fontId="0" fillId="12" borderId="5" xfId="0" applyNumberFormat="1" applyFont="1" applyFill="1" applyBorder="1" applyAlignment="1">
      <x:alignment horizontal="right" vertical="top"/>
    </x:xf>
    <x:xf numFmtId="0" fontId="4" fillId="12" borderId="1" xfId="0" applyNumberFormat="1" applyFont="1" applyFill="1" applyBorder="1" applyAlignment="1">
      <x:alignment horizontal="right" vertical="top"/>
    </x:xf>
    <x:xf numFmtId="0" fontId="4" fillId="12" borderId="5" xfId="0" applyNumberFormat="1" applyFont="1" applyFill="1" applyBorder="1" applyAlignment="1">
      <x:alignment horizontal="right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horizontal="center" vertical="top"/>
    </x:xf>
    <x:xf numFmtId="0" fontId="12" fillId="0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840cf4ee14806" /><Relationship Type="http://schemas.openxmlformats.org/officeDocument/2006/relationships/theme" Target="/xl/theme/theme1.xml" Id="R59a07630a7a34240" /><Relationship Type="http://schemas.openxmlformats.org/officeDocument/2006/relationships/sharedStrings" Target="/xl/sharedStrings.xml" Id="Rf2f6646aa8364bc3" /><Relationship Type="http://schemas.openxmlformats.org/officeDocument/2006/relationships/worksheet" Target="/xl/worksheets/sheet1.xml" Id="R2b587b8b662847b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ColWidth="14.44140625" defaultRowHeight="15"/>
  <x:cols>
    <x:col min="1" max="1" width="10" style="15" hidden="0" customWidth="1"/>
    <x:col min="2" max="2" width="27" style="9" hidden="0" customWidth="1"/>
    <x:col min="3" max="3" width="76" style="22" hidden="0" customWidth="1"/>
    <x:col min="4" max="4" width="29" hidden="0" customWidth="1"/>
    <x:col min="5" max="5" width="12" hidden="0" customWidth="1"/>
    <x:col min="6" max="6" width="21" hidden="0" customWidth="1"/>
    <x:col min="7" max="7" width="21" hidden="0" customWidth="1"/>
    <x:col min="8" max="8" width="11" hidden="0" customWidth="1"/>
    <x:col min="9" max="9" width="17" hidden="0" customWidth="1"/>
    <x:col min="10" max="10" width="43" hidden="0" customWidth="1"/>
    <x:col min="11" max="26" width="8.6640625" customWidth="1"/>
  </x:cols>
  <x:sheetData>
    <x:row r="1" ht="14.25" customHeight="1">
      <x:c r="A1" s="328" t="s">
        <x:v>0</x:v>
      </x:c>
      <x:c r="B1" s="332" t="n">
        <x:f>COUNTIF(H8:H65,"NY")+COUNTIF(H8:H65,"Passed")+COUNTIF(H8:H65,"Failed")</x:f>
        <x:v>24</x:v>
      </x:c>
    </x:row>
    <x:row r="2" ht="14.25" customHeight="1">
      <x:c r="A2" s="328" t="s">
        <x:v>1</x:v>
      </x:c>
      <x:c r="B2" s="332" t="n">
        <x:f>COUNTIF(H8:H65,"Passed")</x:f>
        <x:v>0</x:v>
      </x:c>
    </x:row>
    <x:row r="3" ht="14.25" customHeight="1">
      <x:c r="A3" s="328" t="s">
        <x:v>2</x:v>
      </x:c>
      <x:c r="B3" s="332" t="n">
        <x:f>COUNTIF(H8:H65,"Failed")</x:f>
        <x:v>0</x:v>
      </x:c>
    </x:row>
    <x:row r="4" ht="14.25" customHeight="1">
      <x:c r="A4" s="328" t="s">
        <x:v>3</x:v>
      </x:c>
      <x:c r="B4" s="332" t="n">
        <x:f>COUNTIF(H8:H65,"NY")</x:f>
        <x:v>24</x:v>
      </x:c>
    </x:row>
    <x:row r="5" ht="14.25" customHeight="1"/>
    <x:row r="6" ht="14.25" customHeight="1"/>
    <x:row r="7" ht="26" customHeight="1">
      <x:c r="A7" s="322" t="s">
        <x:v>4</x:v>
      </x:c>
      <x:c r="B7" s="322" t="s">
        <x:v>5</x:v>
      </x:c>
      <x:c r="C7" s="323" t="s">
        <x:v>6</x:v>
      </x:c>
      <x:c r="D7" s="322" t="s">
        <x:v>7</x:v>
      </x:c>
      <x:c r="E7" s="322" t="s">
        <x:v>8</x:v>
      </x:c>
      <x:c r="F7" s="322" t="s">
        <x:v>9</x:v>
      </x:c>
      <x:c r="G7" s="322" t="s">
        <x:v>10</x:v>
      </x:c>
      <x:c r="H7" s="322" t="s">
        <x:v>11</x:v>
      </x:c>
      <x:c r="I7" s="322" t="s">
        <x:v>12</x:v>
      </x:c>
      <x:c r="J7" s="322" t="s">
        <x:v>13</x:v>
      </x:c>
    </x:row>
    <x:row r="8" ht="27" customHeight="1">
      <x:c r="A8" s="304" t="n">
        <x:v>1</x:v>
      </x:c>
      <x:c r="B8" s="305" t="str">
        <x:v>Register test</x:v>
      </x:c>
      <x:c r="C8" s="305"/>
      <x:c r="D8" s="306"/>
      <x:c r="E8" s="306"/>
      <x:c r="F8" s="306"/>
      <x:c r="G8" s="306"/>
      <x:c r="H8" s="306"/>
      <x:c r="I8" s="306"/>
      <x:c r="J8" s="306"/>
    </x:row>
    <x:row r="9" ht="86" customHeight="1">
      <x:c r="A9" s="244" t="str">
        <x:v>1.1</x:v>
      </x:c>
      <x:c r="B9" s="245" t="str">
        <x:v>Read default values</x:v>
      </x:c>
      <x:c r="C9" s="239" t="str">
        <x:v>1. Assert presetn=0, release reset, and wait for both clocks to stabilize.
2. Read TCR(0x00), TSR(0x01), TDR(0x02), TIE(0x03) through APB.
3. Compare all readable bits with the specified reset values.
PASS: All four register reads return 8'h00.</x:v>
      </x:c>
      <x:c r="D9" s="240" t="str">
        <x:v>register_reset_test</x:v>
      </x:c>
      <x:c r="E9" s="250" t="str">
        <x:v>High</x:v>
      </x:c>
      <x:c r="F9" s="250" t="str">
        <x:v>Directed</x:v>
      </x:c>
      <x:c r="G9" s="250" t="str">
        <x:v>NguyenVanThuong</x:v>
      </x:c>
      <x:c r="H9" s="250" t="str">
        <x:v>NY</x:v>
      </x:c>
      <x:c r="I9" s="250" t="str">
        <x:v>03-Nov-2026</x:v>
      </x:c>
      <x:c r="J9" s="240" t="str">
        <x:v>Slides 185–188 | Register reset values.</x:v>
      </x:c>
    </x:row>
    <x:row r="10" ht="86" customHeight="1">
      <x:c r="A10" s="252" t="str">
        <x:v>1.2</x:v>
      </x:c>
      <x:c r="B10" s="253" t="str">
        <x:v>R/W value check</x:v>
      </x:c>
      <x:c r="C10" s="217" t="str">
        <x:v>1. Keep timer_en=0; write TCR.clk_div/count_down combinations (LOAD=0).
2. Write AA, 55, 00, FF to TDR(0x02); write 00, 01, 02, 03 to TIE(0x03).
3. Read each register after writing and compare the defined R/W fields.
PASS: TCR configuration bits, TDR[7:0], and TIE[1:0] match the last legal write; reserved bits read zero.</x:v>
      </x:c>
      <x:c r="D10" s="218" t="str">
        <x:v>register_rw_test</x:v>
      </x:c>
      <x:c r="E10" s="258" t="str">
        <x:v>High</x:v>
      </x:c>
      <x:c r="F10" s="258" t="str">
        <x:v>Directed</x:v>
      </x:c>
      <x:c r="G10" s="258" t="str">
        <x:v>NguyenVanThuong</x:v>
      </x:c>
      <x:c r="H10" s="258" t="str">
        <x:v>NY</x:v>
      </x:c>
      <x:c r="I10" s="258" t="str">
        <x:v>03-Nov-2026</x:v>
      </x:c>
      <x:c r="J10" s="218" t="str">
        <x:v>Slides 185–188 | TSR excluded: W1C, not ordinary RW; LOAD checked in Counter.</x:v>
      </x:c>
    </x:row>
    <x:row r="11" ht="86" customHeight="1">
      <x:c r="A11" s="244" t="str">
        <x:v>1.3</x:v>
      </x:c>
      <x:c r="B11" s="245" t="str">
        <x:v>Reset on the fly</x:v>
      </x:c>
      <x:c r="C11" s="239" t="str">
        <x:v>1. Program non-default TCR, TDR, and TIE values; generate an overflow status in TSR.
2. Assert presetn while the timer is operating; release reset and wait for stable clocks.
3. APB-read all four registers after reset.
PASS: TCR, TSR, TDR, and TIE return documented reset values (00); internal reset timing is TBD.</x:v>
      </x:c>
      <x:c r="D11" s="240" t="str">
        <x:v>register_reset_on_fly_test</x:v>
      </x:c>
      <x:c r="E11" s="250" t="str">
        <x:v>Medium</x:v>
      </x:c>
      <x:c r="F11" s="250" t="str">
        <x:v>Directed</x:v>
      </x:c>
      <x:c r="G11" s="250" t="str">
        <x:v>NguyenVanThuong</x:v>
      </x:c>
      <x:c r="H11" s="250" t="str">
        <x:v>NY</x:v>
      </x:c>
      <x:c r="I11" s="250" t="str">
        <x:v>03-Nov-2026</x:v>
      </x:c>
      <x:c r="J11" s="240" t="str">
        <x:v>Slides 184–188 | TBD: precise asynchronous reset behavior and counter reset state.</x:v>
      </x:c>
    </x:row>
    <x:row r="12" ht="86" customHeight="1">
      <x:c r="A12" s="252" t="str">
        <x:v>1.4</x:v>
      </x:c>
      <x:c r="B12" s="253" t="str">
        <x:v>Reserved bits / addresses</x:v>
      </x:c>
      <x:c r="C12" s="217" t="str">
        <x:v>1. With timer disabled, write 1s to reserved TCR[7:5] and TIE[7:2]; read back.
2. Write AA/FF to reserved addresses 0x04, 0x7F, and 0xFF; read them back.
3. Re-read valid registers to detect unintended changes.
PASS: Reserved bits and addresses always read zero; writes leave documented register fields unchanged.</x:v>
      </x:c>
      <x:c r="D12" s="218" t="str">
        <x:v>reserved_fields_address_test</x:v>
      </x:c>
      <x:c r="E12" s="258" t="str">
        <x:v>High</x:v>
      </x:c>
      <x:c r="F12" s="258" t="str">
        <x:v>Directed</x:v>
      </x:c>
      <x:c r="G12" s="258" t="str">
        <x:v>NguyenVanThuong</x:v>
      </x:c>
      <x:c r="H12" s="258" t="str">
        <x:v>NY</x:v>
      </x:c>
      <x:c r="I12" s="258" t="str">
        <x:v>03-Nov-2026</x:v>
      </x:c>
      <x:c r="J12" s="218" t="str">
        <x:v>Slide 185 | TSR[7:2] reserved too; verify read-zero without accidentally clearing W1C bits.</x:v>
      </x:c>
    </x:row>
    <x:row r="13" ht="86" customHeight="1">
      <x:c r="A13" s="244" t="str">
        <x:v>1.5</x:v>
      </x:c>
      <x:c r="B13" s="245" t="str">
        <x:v>TSR W1C functionality</x:v>
      </x:c>
      <x:c r="C13" s="239" t="str">
        <x:v>1. Generate a real overflow (FF→00) and read TSR[0]=1; repeat for underflow (00→FF) at TSR[1].
2. APB-write 0 to the set status bit; read TSR again.
3. APB-write 1 to that status bit and re-read with no new counter event.
PASS: Hardware sets the matching flag; write-0 preserves it and write-1 clears it.</x:v>
      </x:c>
      <x:c r="D13" s="240" t="str">
        <x:v>tsr_w1c_test</x:v>
      </x:c>
      <x:c r="E13" s="250" t="str">
        <x:v>High</x:v>
      </x:c>
      <x:c r="F13" s="250" t="str">
        <x:v>Directed</x:v>
      </x:c>
      <x:c r="G13" s="250" t="str">
        <x:v>NguyenVanThuong</x:v>
      </x:c>
      <x:c r="H13" s="250" t="str">
        <x:v>NY</x:v>
      </x:c>
      <x:c r="I13" s="250" t="str">
        <x:v>03-Nov-2026</x:v>
      </x:c>
      <x:c r="J13" s="240" t="str">
        <x:v>Slide 187 | Hardware events must be generated; do NOT software-set TSR.</x:v>
      </x:c>
    </x:row>
    <x:row r="14" ht="86" customHeight="1">
      <x:c r="A14" s="252" t="str">
        <x:v>1.6</x:v>
      </x:c>
      <x:c r="B14" s="253" t="str">
        <x:v>TSR selective W1C</x:v>
      </x:c>
      <x:c r="C14" s="217" t="str">
        <x:v>1. Generate overflow and underflow events without clearing TSR; confirm TSR[1:0]=2'b11.
2. Write 8'h01 to TSR(0x01), then read both flags.
3. Write 8'h02 and read both flags again, with counter events paused.
PASS: First read is 2'b10; second read is 2'b00. Only the written-one flag clears.</x:v>
      </x:c>
      <x:c r="D14" s="218" t="str">
        <x:v>tsr_selective_clear_test</x:v>
      </x:c>
      <x:c r="E14" s="258" t="str">
        <x:v>Medium</x:v>
      </x:c>
      <x:c r="F14" s="258" t="str">
        <x:v>Directed</x:v>
      </x:c>
      <x:c r="G14" s="258" t="str">
        <x:v>NguyenVanThuong</x:v>
      </x:c>
      <x:c r="H14" s="258" t="str">
        <x:v>NY</x:v>
      </x:c>
      <x:c r="I14" s="258" t="str">
        <x:v>03-Nov-2026</x:v>
      </x:c>
      <x:c r="J14" s="218" t="str">
        <x:v>Slide 187 | TBD: collision priority when software clear coincides with new event; avoid collision.</x:v>
      </x:c>
    </x:row>
    <x:row r="15" ht="86" customHeight="1">
      <x:c r="A15" s="244" t="str">
        <x:v>1.7</x:v>
      </x:c>
      <x:c r="B15" s="245" t="str">
        <x:v>Random legal register accesses</x:v>
      </x:c>
      <x:c r="C15" s="239" t="str">
        <x:v>1. Randomize address among TCR(00), TDR(02), TIE(03), and reserved 04–FF; randomize 8-bit write data and record seed.
2. Keep timer disabled for TCR settings; use legal APB writes/reads. Do not treat TSR as ordinary R/W.
3. Compare readbacks with a per-field reference model and check reserved read-zero behavior.
PASS: Every legal write/read agrees with field access rules; zero mismatches across recorded iterations.</x:v>
      </x:c>
      <x:c r="D15" s="240" t="str">
        <x:v>random_register_access_test</x:v>
      </x:c>
      <x:c r="E15" s="250" t="str">
        <x:v>Medium</x:v>
      </x:c>
      <x:c r="F15" s="250" t="str">
        <x:v>Constrained-Random</x:v>
      </x:c>
      <x:c r="G15" s="250" t="str">
        <x:v>NguyenVanThuong</x:v>
      </x:c>
      <x:c r="H15" s="250" t="str">
        <x:v>NY</x:v>
      </x:c>
      <x:c r="I15" s="250" t="str">
        <x:v>03-Nov-2026</x:v>
      </x:c>
      <x:c r="J15" s="240" t="str">
        <x:v>Slides 185–188 | Coverage intent: legal addresses, RW patterns, reserved region.</x:v>
      </x:c>
    </x:row>
    <x:row r="16" ht="27" customHeight="1">
      <x:c r="A16" s="304" t="n">
        <x:v>2</x:v>
      </x:c>
      <x:c r="B16" s="305" t="str">
        <x:v>Clock divisor test</x:v>
      </x:c>
      <x:c r="C16" s="305"/>
      <x:c r="D16" s="306"/>
      <x:c r="E16" s="306"/>
      <x:c r="F16" s="306"/>
      <x:c r="G16" s="306"/>
      <x:c r="H16" s="306"/>
      <x:c r="I16" s="306"/>
      <x:c r="J16" s="306"/>
    </x:row>
    <x:row r="17" ht="86" customHeight="1">
      <x:c r="A17" s="244" t="str">
        <x:v>2.1</x:v>
      </x:c>
      <x:c r="B17" s="245" t="str">
        <x:v>No divide (÷1)</x:v>
      </x:c>
      <x:c r="C17" s="239" t="str">
        <x:v>1. Set timer_en=0; configure TCR.clk_div[4:3]=2'b00.
2. Load a known counter value, clear LOAD, and enable counting.
3. Measure stable clk_in cycles against ker_clk through an approved observation point.
PASS: clk_in frequency is 200 MHz when ker_clk is 200 MHz (÷1).</x:v>
      </x:c>
      <x:c r="D17" s="240" t="str">
        <x:v>clock_div1_test</x:v>
      </x:c>
      <x:c r="E17" s="250" t="str">
        <x:v>High</x:v>
      </x:c>
      <x:c r="F17" s="250" t="str">
        <x:v>Directed</x:v>
      </x:c>
      <x:c r="G17" s="250" t="str">
        <x:v>NguyenVanThuong</x:v>
      </x:c>
      <x:c r="H17" s="250" t="str">
        <x:v>NY</x:v>
      </x:c>
      <x:c r="I17" s="250" t="str">
        <x:v>03-Nov-2026</x:v>
      </x:c>
      <x:c r="J17" s="240" t="str">
        <x:v>Slide 186 | TBD: RTL observation point for clk_in and start-up phase.</x:v>
      </x:c>
    </x:row>
    <x:row r="18" ht="86" customHeight="1">
      <x:c r="A18" s="252" t="str">
        <x:v>2.2</x:v>
      </x:c>
      <x:c r="B18" s="253" t="str">
        <x:v>Divide by 2</x:v>
      </x:c>
      <x:c r="C18" s="217" t="str">
        <x:v>1. Set timer_en=0; configure TCR.clk_div=2'b01.
2. Load a known value and enable counter in a legal sequence.
3. Check steady-state clk_in cycles against ker_clk.
PASS: clk_in is 100 MHz for ker_clk=200 MHz (÷2).</x:v>
      </x:c>
      <x:c r="D18" s="218" t="str">
        <x:v>clock_div2_test</x:v>
      </x:c>
      <x:c r="E18" s="258" t="str">
        <x:v>High</x:v>
      </x:c>
      <x:c r="F18" s="258" t="str">
        <x:v>Directed</x:v>
      </x:c>
      <x:c r="G18" s="258" t="str">
        <x:v>NguyenVanThuong</x:v>
      </x:c>
      <x:c r="H18" s="258" t="str">
        <x:v>NY</x:v>
      </x:c>
      <x:c r="I18" s="258" t="str">
        <x:v>03-Nov-2026</x:v>
      </x:c>
      <x:c r="J18" s="218" t="str">
        <x:v>Slide 186 | TBD: clock observation point; check after settling.</x:v>
      </x:c>
    </x:row>
    <x:row r="19" ht="86" customHeight="1">
      <x:c r="A19" s="244" t="str">
        <x:v>2.3</x:v>
      </x:c>
      <x:c r="B19" s="245" t="str">
        <x:v>Divide by 4</x:v>
      </x:c>
      <x:c r="C19" s="239" t="str">
        <x:v>1. Set timer_en=0; configure TCR.clk_div=2'b10.
2. Load a known value and enable counter.
3. Observe clk_in/counter ticks after configuration settles.
PASS: clk_in is 50 MHz for ker_clk=200 MHz (÷4).</x:v>
      </x:c>
      <x:c r="D19" s="240" t="str">
        <x:v>clock_div4_test</x:v>
      </x:c>
      <x:c r="E19" s="250" t="str">
        <x:v>High</x:v>
      </x:c>
      <x:c r="F19" s="250" t="str">
        <x:v>Directed</x:v>
      </x:c>
      <x:c r="G19" s="250" t="str">
        <x:v>NguyenVanThuong</x:v>
      </x:c>
      <x:c r="H19" s="250" t="str">
        <x:v>NY</x:v>
      </x:c>
      <x:c r="I19" s="250" t="str">
        <x:v>03-Nov-2026</x:v>
      </x:c>
      <x:c r="J19" s="240" t="str">
        <x:v>Slides 186, 190 | Compare with example waveform; timing observation TBD.</x:v>
      </x:c>
    </x:row>
    <x:row r="20" ht="86" customHeight="1">
      <x:c r="A20" s="252" t="str">
        <x:v>2.4</x:v>
      </x:c>
      <x:c r="B20" s="253" t="str">
        <x:v>Divide by 8</x:v>
      </x:c>
      <x:c r="C20" s="217" t="str">
        <x:v>1. Set timer_en=0; configure TCR.clk_div=2'b11.
2. Load a known value and enable counter.
3. Measure stable clk_in ticks relative to ker_clk.
PASS: clk_in is 25 MHz for ker_clk=200 MHz (÷8).</x:v>
      </x:c>
      <x:c r="D20" s="218" t="str">
        <x:v>clock_div8_test</x:v>
      </x:c>
      <x:c r="E20" s="258" t="str">
        <x:v>High</x:v>
      </x:c>
      <x:c r="F20" s="258" t="str">
        <x:v>Directed</x:v>
      </x:c>
      <x:c r="G20" s="258" t="str">
        <x:v>NguyenVanThuong</x:v>
      </x:c>
      <x:c r="H20" s="258" t="str">
        <x:v>NY</x:v>
      </x:c>
      <x:c r="I20" s="258" t="str">
        <x:v>03-Nov-2026</x:v>
      </x:c>
      <x:c r="J20" s="218" t="str">
        <x:v>Slide 186 | TBD: clock observation point; do not assume initial phase.</x:v>
      </x:c>
    </x:row>
    <x:row r="21" ht="27" customHeight="1">
      <x:c r="A21" s="304" t="n">
        <x:v>3</x:v>
      </x:c>
      <x:c r="B21" s="305" t="str">
        <x:v>Counter test</x:v>
      </x:c>
      <x:c r="C21" s="305"/>
      <x:c r="D21" s="306"/>
      <x:c r="E21" s="306"/>
      <x:c r="F21" s="306"/>
      <x:c r="G21" s="306"/>
      <x:c r="H21" s="306"/>
      <x:c r="I21" s="306"/>
      <x:c r="J21" s="306"/>
    </x:row>
    <x:row r="22" ht="86" customHeight="1">
      <x:c r="A22" s="252" t="str">
        <x:v>3.1</x:v>
      </x:c>
      <x:c r="B22" s="253" t="str">
        <x:v>Load starting value</x:v>
      </x:c>
      <x:c r="C22" s="217" t="str">
        <x:v>1. Set timer_en=0; write TDR(0x02)=8'h52.
2. Write TCR.LOAD=1 with timer disabled; observe counter and hold LOAD as required.
3. Return LOAD=0, then repeat for boundary values 00 and FF.
PASS: Counter loads exactly the TDR value and does not count while LOAD=1.</x:v>
      </x:c>
      <x:c r="D22" s="218" t="str">
        <x:v>counter_load_test</x:v>
      </x:c>
      <x:c r="E22" s="258" t="str">
        <x:v>High</x:v>
      </x:c>
      <x:c r="F22" s="258" t="str">
        <x:v>Directed</x:v>
      </x:c>
      <x:c r="G22" s="258" t="str">
        <x:v>NguyenVanThuong</x:v>
      </x:c>
      <x:c r="H22" s="258" t="str">
        <x:v>NY</x:v>
      </x:c>
      <x:c r="I22" s="258" t="str">
        <x:v>03-Nov-2026</x:v>
      </x:c>
      <x:c r="J22" s="218" t="str">
        <x:v>Slides 186–187 | TBD: LOAD auto-clear vs software-clear; counter observation.</x:v>
      </x:c>
    </x:row>
    <x:row r="23" ht="86" customHeight="1">
      <x:c r="A23" s="244" t="str">
        <x:v>3.2</x:v>
      </x:c>
      <x:c r="B23" s="245" t="str">
        <x:v>Timer enable / disable</x:v>
      </x:c>
      <x:c r="C23" s="239" t="str">
        <x:v>1. Load 8'h20 and configure count-up while timer_en=0.
2. Keep timer_en=0 for several eligible counter ticks; observe counter.
3. Enable timer, then disable again after it advances.
PASS: Counter holds when disabled and advances only while enabled.</x:v>
      </x:c>
      <x:c r="D23" s="240" t="str">
        <x:v>timer_enable_disable_test</x:v>
      </x:c>
      <x:c r="E23" s="250" t="str">
        <x:v>High</x:v>
      </x:c>
      <x:c r="F23" s="250" t="str">
        <x:v>Directed</x:v>
      </x:c>
      <x:c r="G23" s="250" t="str">
        <x:v>NguyenVanThuong</x:v>
      </x:c>
      <x:c r="H23" s="250" t="str">
        <x:v>NY</x:v>
      </x:c>
      <x:c r="I23" s="250" t="str">
        <x:v>03-Nov-2026</x:v>
      </x:c>
      <x:c r="J23" s="240" t="str">
        <x:v>Slide 186 | First-tick latency after enable and resume phase TBD.</x:v>
      </x:c>
    </x:row>
    <x:row r="24" ht="86" customHeight="1">
      <x:c r="A24" s="252" t="str">
        <x:v>3.3</x:v>
      </x:c>
      <x:c r="B24" s="253" t="str">
        <x:v>Count up</x:v>
      </x:c>
      <x:c r="C24" s="217" t="str">
        <x:v>1. Disable timer, set count_down=0 and clk_div=00; load TDR=8'h10.
2. Set LOAD=0, enable timer, and monitor eligible count ticks.
3. Compare observed count against reference count+1 (mod 256).
PASS: 10→11→12→13 in hex on successive count ticks.</x:v>
      </x:c>
      <x:c r="D24" s="218" t="str">
        <x:v>counter_count_up_test</x:v>
      </x:c>
      <x:c r="E24" s="258" t="str">
        <x:v>High</x:v>
      </x:c>
      <x:c r="F24" s="258" t="str">
        <x:v>Directed</x:v>
      </x:c>
      <x:c r="G24" s="258" t="str">
        <x:v>NguyenVanThuong</x:v>
      </x:c>
      <x:c r="H24" s="258" t="str">
        <x:v>NY</x:v>
      </x:c>
      <x:c r="I24" s="258" t="str">
        <x:v>03-Nov-2026</x:v>
      </x:c>
      <x:c r="J24" s="218" t="str">
        <x:v>Slides 186,189 | Needs counter observation/scoreboard reference tick.</x:v>
      </x:c>
    </x:row>
    <x:row r="25" ht="86" customHeight="1">
      <x:c r="A25" s="244" t="str">
        <x:v>3.4</x:v>
      </x:c>
      <x:c r="B25" s="245" t="str">
        <x:v>Count down</x:v>
      </x:c>
      <x:c r="C25" s="239" t="str">
        <x:v>1. Disable timer, set count_down=1 and clk_div=00; load TDR=8'h10.
2. Set LOAD=0 and enable timer.
3. Compare each observed value with reference count−1 (mod 256).
PASS: 10→0F→0E→0D in hex on successive count ticks.</x:v>
      </x:c>
      <x:c r="D25" s="240" t="str">
        <x:v>counter_count_down_test</x:v>
      </x:c>
      <x:c r="E25" s="250" t="str">
        <x:v>High</x:v>
      </x:c>
      <x:c r="F25" s="250" t="str">
        <x:v>Directed</x:v>
      </x:c>
      <x:c r="G25" s="250" t="str">
        <x:v>NguyenVanThuong</x:v>
      </x:c>
      <x:c r="H25" s="250" t="str">
        <x:v>NY</x:v>
      </x:c>
      <x:c r="I25" s="250" t="str">
        <x:v>03-Nov-2026</x:v>
      </x:c>
      <x:c r="J25" s="240" t="str">
        <x:v>Slides 186,189 | Needs counter observation/scoreboard reference tick.</x:v>
      </x:c>
    </x:row>
    <x:row r="26" ht="86" customHeight="1">
      <x:c r="A26" s="252" t="str">
        <x:v>3.5</x:v>
      </x:c>
      <x:c r="B26" s="253" t="str">
        <x:v>Overflow boundary</x:v>
      </x:c>
      <x:c r="C26" s="217" t="str">
        <x:v>1. Clear TSR; disable timer, set count_down=0, load TDR=8'hFE.
2. Enable and observe FE→FF followed by FF→00.
3. Poll TSR[0] after each boundary step.
PASS: TSR[0] is not set merely at FE→FF; it sets when counter wraps FF→00.</x:v>
      </x:c>
      <x:c r="D26" s="218" t="str">
        <x:v>counter_overflow_test</x:v>
      </x:c>
      <x:c r="E26" s="258" t="str">
        <x:v>High</x:v>
      </x:c>
      <x:c r="F26" s="258" t="str">
        <x:v>Directed</x:v>
      </x:c>
      <x:c r="G26" s="258" t="str">
        <x:v>NguyenVanThuong</x:v>
      </x:c>
      <x:c r="H26" s="258" t="str">
        <x:v>NY</x:v>
      </x:c>
      <x:c r="I26" s="258" t="str">
        <x:v>03-Nov-2026</x:v>
      </x:c>
      <x:c r="J26" s="218" t="str">
        <x:v>Slide 187 authoritative transition | Slide 182 wording 'reach 255' differs; confirm with RTL.</x:v>
      </x:c>
    </x:row>
    <x:row r="27" ht="86" customHeight="1">
      <x:c r="A27" s="244" t="str">
        <x:v>3.6</x:v>
      </x:c>
      <x:c r="B27" s="245" t="str">
        <x:v>Underflow boundary</x:v>
      </x:c>
      <x:c r="C27" s="239" t="str">
        <x:v>1. Clear TSR; disable timer, set count_down=1, load TDR=8'h01.
2. Enable and observe 01→00 followed by 00→FF.
3. Poll TSR[1] after each boundary step.
PASS: TSR[1] is not set at 01→00; it sets when counter wraps 00→FF.</x:v>
      </x:c>
      <x:c r="D27" s="240" t="str">
        <x:v>counter_underflow_test</x:v>
      </x:c>
      <x:c r="E27" s="250" t="str">
        <x:v>High</x:v>
      </x:c>
      <x:c r="F27" s="250" t="str">
        <x:v>Directed</x:v>
      </x:c>
      <x:c r="G27" s="250" t="str">
        <x:v>NguyenVanThuong</x:v>
      </x:c>
      <x:c r="H27" s="250" t="str">
        <x:v>NY</x:v>
      </x:c>
      <x:c r="I27" s="250" t="str">
        <x:v>03-Nov-2026</x:v>
      </x:c>
      <x:c r="J27" s="240" t="str">
        <x:v>Slide 187 authoritative transition | Slide 182 general wording may differ.</x:v>
      </x:c>
    </x:row>
    <x:row r="28" ht="86" customHeight="1">
      <x:c r="A28" s="252" t="str">
        <x:v>3.7</x:v>
      </x:c>
      <x:c r="B28" s="253" t="str">
        <x:v>Random counter configuration</x:v>
      </x:c>
      <x:c r="C28" s="217" t="str">
        <x:v>1. Randomize TDR[7:0], count_down∈{0,1}, clk_div∈{00,01,10,11}; bias 00,01,FE,FF and log seed.
2. For each sample: disable→configure→load→release LOAD→enable; run 2–16 count ticks.
3. Compare modulo-256 scoreboard and rate; record divider×direction cases.
PASS: All legal combinations match count direction and divisor, with zero checker mismatches.</x:v>
      </x:c>
      <x:c r="D28" s="218" t="str">
        <x:v>random_counter_config_test</x:v>
      </x:c>
      <x:c r="E28" s="258" t="str">
        <x:v>Medium</x:v>
      </x:c>
      <x:c r="F28" s="258" t="str">
        <x:v>Constrained-Random</x:v>
      </x:c>
      <x:c r="G28" s="258" t="str">
        <x:v>NguyenVanThuong</x:v>
      </x:c>
      <x:c r="H28" s="258" t="str">
        <x:v>NY</x:v>
      </x:c>
      <x:c r="I28" s="258" t="str">
        <x:v>03-Nov-2026</x:v>
      </x:c>
      <x:c r="J28" s="218" t="str">
        <x:v>Slides 186–190 | Coverage intent: 4 divisors × 2 directions; internal observation TBD.</x:v>
      </x:c>
    </x:row>
    <x:row r="29" ht="27" customHeight="1">
      <x:c r="A29" s="304" t="n">
        <x:v>4</x:v>
      </x:c>
      <x:c r="B29" s="305" t="str">
        <x:v>Interrupt test</x:v>
      </x:c>
      <x:c r="C29" s="305"/>
      <x:c r="D29" s="306"/>
      <x:c r="E29" s="306"/>
      <x:c r="F29" s="306"/>
      <x:c r="G29" s="306"/>
      <x:c r="H29" s="306"/>
      <x:c r="I29" s="306"/>
      <x:c r="J29" s="306"/>
    </x:row>
    <x:row r="30" ht="86" customHeight="1">
      <x:c r="A30" s="252" t="str">
        <x:v>4.1</x:v>
      </x:c>
      <x:c r="B30" s="253" t="str">
        <x:v>Overflow interrupt</x:v>
      </x:c>
      <x:c r="C30" s="217" t="str">
        <x:v>1. Clear TSR, set TIE(0x03)=8'h01 and prepare count-up from 8'hFE.
2. Enable timer and generate FF→00.
3. Observe TSR[0] and interrupt during the overflow event.
PASS: Overflow flag sets and enabled overflow source activates interrupt.</x:v>
      </x:c>
      <x:c r="D30" s="218" t="str">
        <x:v>overflow_interrupt_test</x:v>
      </x:c>
      <x:c r="E30" s="258" t="str">
        <x:v>High</x:v>
      </x:c>
      <x:c r="F30" s="258" t="str">
        <x:v>Directed</x:v>
      </x:c>
      <x:c r="G30" s="258" t="str">
        <x:v>NguyenVanThuong</x:v>
      </x:c>
      <x:c r="H30" s="258" t="str">
        <x:v>NY</x:v>
      </x:c>
      <x:c r="I30" s="258" t="str">
        <x:v>03-Nov-2026</x:v>
      </x:c>
      <x:c r="J30" s="218" t="str">
        <x:v>Slides 187–189 | TBD: exact IRQ assertion latency and pulse/level nature.</x:v>
      </x:c>
    </x:row>
    <x:row r="31" ht="86" customHeight="1">
      <x:c r="A31" s="244" t="str">
        <x:v>4.2</x:v>
      </x:c>
      <x:c r="B31" s="245" t="str">
        <x:v>Underflow interrupt</x:v>
      </x:c>
      <x:c r="C31" s="239" t="str">
        <x:v>1. Clear TSR, set TIE=8'h02 and configure count-down from 8'h01.
2. Enable counter and generate 00→FF.
3. Observe TSR[1] and interrupt.
PASS: Underflow flag sets and enabled underflow source activates interrupt.</x:v>
      </x:c>
      <x:c r="D31" s="240" t="str">
        <x:v>underflow_interrupt_test</x:v>
      </x:c>
      <x:c r="E31" s="250" t="str">
        <x:v>High</x:v>
      </x:c>
      <x:c r="F31" s="250" t="str">
        <x:v>Directed</x:v>
      </x:c>
      <x:c r="G31" s="250" t="str">
        <x:v>NguyenVanThuong</x:v>
      </x:c>
      <x:c r="H31" s="250" t="str">
        <x:v>NY</x:v>
      </x:c>
      <x:c r="I31" s="250" t="str">
        <x:v>03-Nov-2026</x:v>
      </x:c>
      <x:c r="J31" s="240" t="str">
        <x:v>Slides 187–189 | TBD: IRQ duration and deassertion semantics.</x:v>
      </x:c>
    </x:row>
    <x:row r="32" ht="86" customHeight="1">
      <x:c r="A32" s="260" t="str">
        <x:v>4.3</x:v>
      </x:c>
      <x:c r="B32" s="261" t="str">
        <x:v>Interrupt masking</x:v>
      </x:c>
      <x:c r="C32" s="221" t="str">
        <x:v>1. Write TIE=8'h00 and clear any pending TSR flags.
2. Generate overflow, then underflow as separate controlled runs.
3. Read TSR and observe interrupt throughout each event.
PASS: Relevant TSR status flags still set, while interrupt stays inactive when enables=0.</x:v>
      </x:c>
      <x:c r="D32" s="222" t="str">
        <x:v>interrupt_mask_test</x:v>
      </x:c>
      <x:c r="E32" s="266" t="str">
        <x:v>High</x:v>
      </x:c>
      <x:c r="F32" s="266" t="str">
        <x:v>Directed</x:v>
      </x:c>
      <x:c r="G32" s="266" t="str">
        <x:v>NguyenVanThuong</x:v>
      </x:c>
      <x:c r="H32" s="266" t="str">
        <x:v>NY</x:v>
      </x:c>
      <x:c r="I32" s="266" t="str">
        <x:v>03-Nov-2026</x:v>
      </x:c>
      <x:c r="J32" s="222" t="str">
        <x:v>Slides 182,187,188 | Mask affects IRQ, not HW-set status.</x:v>
      </x:c>
    </x:row>
    <x:row r="33" ht="86" customHeight="1">
      <x:c r="A33" s="276" t="str">
        <x:v>4.4</x:v>
      </x:c>
      <x:c r="B33" s="277" t="str">
        <x:v>Independent interrupt enables</x:v>
      </x:c>
      <x:c r="C33" s="270" t="str">
        <x:v>1. Program TIE=01 and generate underflow; then TIE=02 and generate overflow (clear flags between runs).
2. For each case, compare active event with its matching enable bit.
3. Repeat with TIE=03 and generate each event separately.
PASS: Mismatched-source enables do not permit IRQ; TIE=03 permits both sources.</x:v>
      </x:c>
      <x:c r="D33" s="271" t="str">
        <x:v>irq_enable_independence_test</x:v>
      </x:c>
      <x:c r="E33" s="282" t="str">
        <x:v>High</x:v>
      </x:c>
      <x:c r="F33" s="282" t="str">
        <x:v>Directed</x:v>
      </x:c>
      <x:c r="G33" s="250" t="str">
        <x:v>NguyenVanThuong</x:v>
      </x:c>
      <x:c r="H33" s="282" t="str">
        <x:v>NY</x:v>
      </x:c>
      <x:c r="I33" s="282" t="str">
        <x:v>03-Nov-2026</x:v>
      </x:c>
      <x:c r="J33" s="271" t="str">
        <x:v>Slide 188 | Shared IRQ line; use separate events, no assumption about simultaneous events.</x:v>
      </x:c>
    </x:row>
    <x:row r="34" ht="86" customHeight="1">
      <x:c r="A34" s="284" t="str">
        <x:v>4.5</x:v>
      </x:c>
      <x:c r="B34" s="285" t="str">
        <x:v>Polling without interrupt</x:v>
      </x:c>
      <x:c r="C34" s="224" t="str">
        <x:v>1. Program TIE=00 and clear TSR.
2. Generate overflow/underflow events and periodically APB-read TSR(0x01).
3. Clear each observed status via W1C and read it again.
PASS: Software detects and clears event status by polling while interrupt stays masked.</x:v>
      </x:c>
      <x:c r="D34" s="225" t="str">
        <x:v>status_polling_test</x:v>
      </x:c>
      <x:c r="E34" s="290" t="str">
        <x:v>Medium</x:v>
      </x:c>
      <x:c r="F34" s="290" t="str">
        <x:v>Directed</x:v>
      </x:c>
      <x:c r="G34" s="266" t="str">
        <x:v>NguyenVanThuong</x:v>
      </x:c>
      <x:c r="H34" s="290" t="str">
        <x:v>NY</x:v>
      </x:c>
      <x:c r="I34" s="290" t="str">
        <x:v>03-Nov-2026</x:v>
      </x:c>
      <x:c r="J34" s="225" t="str">
        <x:v>Slides 182,187–188 | Avoid new event between W1C and readback.</x:v>
      </x:c>
    </x:row>
    <x:row r="35" ht="86" customHeight="1">
      <x:c r="A35" s="276" t="str">
        <x:v>4.6</x:v>
      </x:c>
      <x:c r="B35" s="277" t="str">
        <x:v>Random event / IRQ mask</x:v>
      </x:c>
      <x:c r="C35" s="269" t="str">
        <x:v>1. Randomize direction, near-boundary start (FE/FF/00/01), TIE[1:0]∈{00,01,10,11}; log seed.
2. Disable/configure/load, run until the selected wrap event; no illegal active reconfiguration.
3. Scoreboard checks TSR event bit and IRQ gating for every sampled run.
PASS: All event×mask combinations obey the documented flag and enable rules.</x:v>
      </x:c>
      <x:c r="D35" s="271" t="str">
        <x:v>random_irq_mask_test</x:v>
      </x:c>
      <x:c r="E35" s="282" t="str">
        <x:v>Medium</x:v>
      </x:c>
      <x:c r="F35" s="282" t="str">
        <x:v>Constrained-Random</x:v>
      </x:c>
      <x:c r="G35" s="282" t="str">
        <x:v>NguyenVanThuong</x:v>
      </x:c>
      <x:c r="H35" s="282" t="str">
        <x:v>NY</x:v>
      </x:c>
      <x:c r="I35" s="282" t="str">
        <x:v>03-Nov-2026</x:v>
      </x:c>
      <x:c r="J35" s="271" t="str">
        <x:v>Slides 186–188 | Coverage intent: overflow/underflow × TIE[1:0]; IRQ timing TBD.</x:v>
      </x:c>
    </x:row>
    <x:row r="36" ht="14.25" customHeight="1">
      <x:c r="A36" s="223"/>
      <x:c r="B36" s="224"/>
      <x:c r="C36" s="224"/>
      <x:c r="D36" s="225"/>
      <x:c r="E36" s="225"/>
      <x:c r="F36" s="225"/>
      <x:c r="G36" s="225"/>
      <x:c r="H36" s="225"/>
      <x:c r="I36" s="225"/>
      <x:c r="J36" s="225"/>
    </x:row>
    <x:row r="37" ht="72" customHeight="1">
      <x:c r="A37" s="223"/>
      <x:c r="B37" s="224"/>
      <x:c r="C37" s="224"/>
      <x:c r="D37" s="225"/>
      <x:c r="E37" s="225"/>
      <x:c r="F37" s="225"/>
      <x:c r="G37" s="222"/>
      <x:c r="H37" s="225"/>
      <x:c r="I37" s="225"/>
      <x:c r="J37" s="225"/>
    </x:row>
    <x:row r="38" ht="63.599998474121094" customHeight="1">
      <x:c r="A38" s="223"/>
      <x:c r="B38" s="224"/>
      <x:c r="C38" s="224"/>
      <x:c r="D38" s="225"/>
      <x:c r="E38" s="225"/>
      <x:c r="F38" s="225"/>
      <x:c r="G38" s="222"/>
      <x:c r="H38" s="225"/>
      <x:c r="I38" s="225"/>
      <x:c r="J38" s="225"/>
    </x:row>
    <x:row r="39" ht="14.25" customHeight="1">
      <x:c r="A39" s="223"/>
      <x:c r="B39" s="224"/>
      <x:c r="C39" s="224"/>
      <x:c r="D39" s="225"/>
      <x:c r="E39" s="225"/>
      <x:c r="F39" s="225"/>
      <x:c r="G39" s="225"/>
      <x:c r="H39" s="225"/>
      <x:c r="I39" s="225"/>
      <x:c r="J39" s="225"/>
    </x:row>
    <x:row r="40" ht="14.25" customHeight="1">
      <x:c r="A40" s="223"/>
      <x:c r="B40" s="224"/>
      <x:c r="C40" s="224"/>
      <x:c r="D40" s="225"/>
      <x:c r="E40" s="225"/>
      <x:c r="F40" s="225"/>
      <x:c r="G40" s="225"/>
      <x:c r="H40" s="225"/>
      <x:c r="I40" s="225"/>
      <x:c r="J40" s="225"/>
    </x:row>
    <x:row r="41" ht="14.25" customHeight="1">
      <x:c r="A41" s="223"/>
      <x:c r="B41" s="224"/>
      <x:c r="C41" s="224"/>
      <x:c r="D41" s="225"/>
      <x:c r="E41" s="225"/>
      <x:c r="F41" s="225"/>
      <x:c r="G41" s="225"/>
      <x:c r="H41" s="225"/>
      <x:c r="I41" s="225"/>
      <x:c r="J41" s="225"/>
    </x:row>
    <x:row r="42" ht="68.4000015258789" customHeight="1">
      <x:c r="A42" s="223"/>
      <x:c r="B42" s="221"/>
      <x:c r="C42" s="224"/>
      <x:c r="D42" s="225"/>
      <x:c r="E42" s="225"/>
      <x:c r="F42" s="225"/>
      <x:c r="G42" s="222"/>
      <x:c r="H42" s="225"/>
      <x:c r="I42" s="225"/>
      <x:c r="J42" s="225"/>
    </x:row>
    <x:row r="43" ht="72.5999984741211" customHeight="1">
      <x:c r="A43" s="223"/>
      <x:c r="B43" s="224"/>
      <x:c r="C43" s="224"/>
      <x:c r="D43" s="225"/>
      <x:c r="E43" s="225"/>
      <x:c r="F43" s="225"/>
      <x:c r="G43" s="225"/>
      <x:c r="H43" s="225"/>
      <x:c r="I43" s="225"/>
      <x:c r="J43" s="225"/>
    </x:row>
    <x:row r="44" ht="97.80000305175781" customHeight="1">
      <x:c r="A44" s="223"/>
      <x:c r="B44" s="224"/>
      <x:c r="C44" s="224"/>
      <x:c r="D44" s="225"/>
      <x:c r="E44" s="225"/>
      <x:c r="F44" s="225"/>
      <x:c r="G44" s="225"/>
      <x:c r="H44" s="225"/>
      <x:c r="I44" s="225"/>
      <x:c r="J44" s="225"/>
    </x:row>
    <x:row r="45" ht="14.25" customHeight="1">
      <x:c r="A45" s="223"/>
      <x:c r="B45" s="224"/>
      <x:c r="C45" s="224"/>
      <x:c r="D45" s="225"/>
      <x:c r="E45" s="225"/>
      <x:c r="F45" s="225"/>
      <x:c r="G45" s="225"/>
      <x:c r="H45" s="225"/>
      <x:c r="I45" s="225"/>
      <x:c r="J45" s="225"/>
    </x:row>
    <x:row r="46" ht="14.25" customHeight="1">
      <x:c r="A46" s="223"/>
      <x:c r="B46" s="224"/>
      <x:c r="C46" s="224"/>
      <x:c r="D46" s="225"/>
      <x:c r="E46" s="225"/>
      <x:c r="F46" s="225"/>
      <x:c r="G46" s="225"/>
      <x:c r="H46" s="225"/>
      <x:c r="I46" s="225"/>
      <x:c r="J46" s="225"/>
    </x:row>
    <x:row r="47" ht="14.25" customHeight="1">
      <x:c r="A47" s="223"/>
      <x:c r="B47" s="224"/>
      <x:c r="C47" s="224"/>
      <x:c r="D47" s="225"/>
      <x:c r="E47" s="225"/>
      <x:c r="F47" s="225"/>
      <x:c r="G47" s="225"/>
      <x:c r="H47" s="225"/>
      <x:c r="I47" s="225"/>
      <x:c r="J47" s="225"/>
    </x:row>
    <x:row r="48" ht="112.80000305175781" customHeight="1">
      <x:c r="A48" s="223"/>
      <x:c r="B48" s="224"/>
      <x:c r="C48" s="224"/>
      <x:c r="D48" s="225"/>
      <x:c r="E48" s="225"/>
      <x:c r="F48" s="225"/>
      <x:c r="G48" s="225"/>
      <x:c r="H48" s="225"/>
      <x:c r="I48" s="225"/>
      <x:c r="J48" s="225"/>
    </x:row>
    <x:row r="49" ht="14.25" customHeight="1">
      <x:c r="A49" s="223"/>
      <x:c r="B49" s="224"/>
      <x:c r="C49" s="224"/>
      <x:c r="D49" s="225"/>
      <x:c r="E49" s="225"/>
      <x:c r="F49" s="225"/>
      <x:c r="G49" s="225"/>
      <x:c r="H49" s="225"/>
      <x:c r="I49" s="225"/>
      <x:c r="J49" s="225"/>
    </x:row>
    <x:row r="50" ht="14.25" customHeight="1">
      <x:c r="A50" s="226"/>
      <x:c r="B50" s="226"/>
      <x:c r="C50" s="226"/>
      <x:c r="D50" s="226"/>
      <x:c r="E50" s="226"/>
      <x:c r="F50" s="226"/>
      <x:c r="G50" s="226"/>
      <x:c r="H50" s="226"/>
      <x:c r="I50" s="226"/>
      <x:c r="J50" s="226"/>
    </x:row>
    <x:row r="51" ht="14.25" customHeight="1">
      <x:c r="A51" s="226"/>
      <x:c r="B51" s="226"/>
      <x:c r="C51" s="226"/>
      <x:c r="D51" s="226"/>
      <x:c r="E51" s="226"/>
      <x:c r="F51" s="226"/>
      <x:c r="G51" s="226"/>
      <x:c r="H51" s="226"/>
      <x:c r="I51" s="226"/>
      <x:c r="J51" s="226"/>
    </x:row>
    <x:row r="52" ht="14.25" customHeight="1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</x:row>
    <x:row r="53" ht="14.25" customHeight="1">
      <x:c r="A53" s="226"/>
      <x:c r="B53" s="226"/>
      <x:c r="C53" s="226"/>
      <x:c r="D53" s="226"/>
      <x:c r="E53" s="226"/>
      <x:c r="F53" s="226"/>
      <x:c r="G53" s="226"/>
      <x:c r="H53" s="226"/>
      <x:c r="I53" s="226"/>
      <x:c r="J53" s="226"/>
    </x:row>
    <x:row r="54" ht="14.25" customHeight="1">
      <x:c r="A54" s="226"/>
      <x:c r="B54" s="226"/>
      <x:c r="C54" s="226"/>
      <x:c r="D54" s="226"/>
      <x:c r="E54" s="226"/>
      <x:c r="F54" s="226"/>
      <x:c r="G54" s="226"/>
      <x:c r="H54" s="226"/>
      <x:c r="I54" s="226"/>
      <x:c r="J54" s="226"/>
    </x:row>
    <x:row r="55" ht="14.25" customHeight="1">
      <x:c r="A55" s="226"/>
      <x:c r="B55" s="226"/>
      <x:c r="C55" s="226"/>
      <x:c r="D55" s="226"/>
      <x:c r="E55" s="226"/>
      <x:c r="F55" s="226"/>
      <x:c r="G55" s="226"/>
      <x:c r="H55" s="226"/>
      <x:c r="I55" s="226"/>
      <x:c r="J55" s="226"/>
    </x:row>
    <x:row r="56" ht="14.25" customHeight="1">
      <x:c r="A56" s="226"/>
      <x:c r="B56" s="226"/>
      <x:c r="C56" s="226"/>
      <x:c r="D56" s="226"/>
      <x:c r="E56" s="226"/>
      <x:c r="F56" s="226"/>
      <x:c r="G56" s="226"/>
      <x:c r="H56" s="226"/>
      <x:c r="I56" s="226"/>
      <x:c r="J56" s="226"/>
    </x:row>
    <x:row r="57" ht="14.25" customHeight="1">
      <x:c r="A57" s="226"/>
      <x:c r="B57" s="226"/>
      <x:c r="C57" s="226"/>
      <x:c r="D57" s="226"/>
      <x:c r="E57" s="226"/>
      <x:c r="F57" s="226"/>
      <x:c r="G57" s="226"/>
      <x:c r="H57" s="226"/>
      <x:c r="I57" s="226"/>
      <x:c r="J57" s="226"/>
    </x:row>
    <x:row r="58" ht="14.25" customHeight="1">
      <x:c r="A58" s="226"/>
      <x:c r="B58" s="226"/>
      <x:c r="C58" s="226"/>
      <x:c r="D58" s="226"/>
      <x:c r="E58" s="226"/>
      <x:c r="F58" s="226"/>
      <x:c r="G58" s="226"/>
      <x:c r="H58" s="226"/>
      <x:c r="I58" s="226"/>
      <x:c r="J58" s="226"/>
    </x:row>
    <x:row r="59" ht="14.25" customHeight="1">
      <x:c r="A59" s="226"/>
      <x:c r="B59" s="226"/>
      <x:c r="C59" s="226"/>
      <x:c r="D59" s="226"/>
      <x:c r="E59" s="226"/>
      <x:c r="F59" s="226"/>
      <x:c r="G59" s="226"/>
      <x:c r="H59" s="226"/>
      <x:c r="I59" s="226"/>
      <x:c r="J59" s="226"/>
    </x:row>
    <x:row r="60" ht="14.25" customHeight="1">
      <x:c r="A60" s="226"/>
      <x:c r="B60" s="226"/>
      <x:c r="C60" s="226"/>
      <x:c r="D60" s="226"/>
      <x:c r="E60" s="226"/>
      <x:c r="F60" s="226"/>
      <x:c r="G60" s="226"/>
      <x:c r="H60" s="226"/>
      <x:c r="I60" s="226"/>
      <x:c r="J60" s="226"/>
    </x:row>
    <x:row r="61" ht="14.25" customHeight="1">
      <x:c r="A61" s="226"/>
      <x:c r="B61" s="226"/>
      <x:c r="C61" s="226"/>
      <x:c r="D61" s="226"/>
      <x:c r="E61" s="226"/>
      <x:c r="F61" s="226"/>
      <x:c r="G61" s="226"/>
      <x:c r="H61" s="226"/>
      <x:c r="I61" s="226"/>
      <x:c r="J61" s="226"/>
    </x:row>
    <x:row r="62" ht="14.25" customHeight="1">
      <x:c r="A62" s="226"/>
      <x:c r="B62" s="226"/>
      <x:c r="C62" s="226"/>
      <x:c r="D62" s="226"/>
      <x:c r="E62" s="226"/>
      <x:c r="F62" s="226"/>
      <x:c r="G62" s="226"/>
      <x:c r="H62" s="226"/>
      <x:c r="I62" s="226"/>
      <x:c r="J62" s="226"/>
    </x:row>
    <x:row r="63" ht="14.25" customHeight="1">
      <x:c r="A63" s="226"/>
      <x:c r="B63" s="226"/>
      <x:c r="C63" s="226"/>
      <x:c r="D63" s="226"/>
      <x:c r="E63" s="226"/>
      <x:c r="F63" s="226"/>
      <x:c r="G63" s="226"/>
      <x:c r="H63" s="226"/>
      <x:c r="I63" s="226"/>
      <x:c r="J63" s="226"/>
    </x:row>
    <x:row r="64" ht="14.25" customHeight="1">
      <x:c r="A64" s="226"/>
      <x:c r="B64" s="226"/>
      <x:c r="C64" s="226"/>
      <x:c r="D64" s="226"/>
      <x:c r="E64" s="226"/>
      <x:c r="F64" s="226"/>
      <x:c r="G64" s="226"/>
      <x:c r="H64" s="226"/>
      <x:c r="I64" s="226"/>
      <x:c r="J64" s="226"/>
    </x:row>
    <x:row r="65" ht="14.25" customHeight="1">
      <x:c r="A65" s="226"/>
      <x:c r="B65" s="226"/>
      <x:c r="C65" s="226"/>
      <x:c r="D65" s="226"/>
      <x:c r="E65" s="226"/>
      <x:c r="F65" s="226"/>
      <x:c r="G65" s="226"/>
      <x:c r="H65" s="226"/>
      <x:c r="I65" s="226"/>
      <x:c r="J65" s="226"/>
    </x:row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  <x:row r="1001" ht="14.25" customHeight="1"/>
    <x:row r="1002" ht="14.25" customHeight="1"/>
    <x:row r="1003" ht="14.25" customHeight="1"/>
    <x:row r="1004" ht="14.25" customHeight="1"/>
    <x:row r="1005" ht="14.25" customHeight="1"/>
    <x:row r="1006" ht="14.25" customHeight="1"/>
    <x:row r="1007" ht="14.25" customHeight="1"/>
    <x:row r="1008" ht="14.25" customHeight="1"/>
  </x:sheetData>
  <x:dataValidations count="1">
    <x:dataValidation type="list" sqref="H8:H35">
      <x:formula1>"NY,Passed,Failed"</x:formula1>
    </x:dataValidation>
  </x:dataValidations>
  <x:pageMargins left="0.7" right="0.7" top="0.75" bottom="0.75" header="0.3" footer="0.3"/>
</x:worksheet>
</file>